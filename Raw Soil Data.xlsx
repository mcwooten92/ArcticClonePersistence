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ofc-my.sharepoint.com/personal/mccaide_wooten_ucalgary_ca/Documents/Documents/Research/PhD Work/Manuscripts/Chapter 3 - Environmental Persistence &amp; Alternative Hosts/Data/"/>
    </mc:Choice>
  </mc:AlternateContent>
  <xr:revisionPtr revIDLastSave="0" documentId="13_ncr:1_{B6D0A3E8-A678-4B71-A892-A8212962C7F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G113" i="1" l="1"/>
  <c r="CF113" i="1"/>
  <c r="CE113" i="1"/>
  <c r="CD113" i="1"/>
  <c r="CC113" i="1"/>
  <c r="CB113" i="1"/>
  <c r="CA113" i="1"/>
  <c r="BZ113" i="1"/>
  <c r="BY113" i="1"/>
  <c r="BX113" i="1"/>
  <c r="BW113" i="1"/>
  <c r="BV113" i="1"/>
  <c r="BU113" i="1"/>
  <c r="BT113" i="1"/>
  <c r="BS113" i="1"/>
  <c r="BR113" i="1"/>
  <c r="BQ113" i="1"/>
  <c r="BP113" i="1"/>
  <c r="BO113" i="1"/>
  <c r="BN113" i="1"/>
  <c r="BM113" i="1"/>
  <c r="BL113" i="1"/>
  <c r="BK113" i="1"/>
  <c r="BJ113" i="1"/>
  <c r="BI113" i="1"/>
  <c r="BH113" i="1"/>
  <c r="BG113" i="1"/>
  <c r="BF113" i="1"/>
  <c r="BE113" i="1"/>
  <c r="BD113" i="1"/>
  <c r="BC113" i="1"/>
  <c r="BB113" i="1"/>
  <c r="BA113" i="1"/>
  <c r="AZ113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A113" i="1"/>
  <c r="X113" i="1"/>
  <c r="W113" i="1"/>
  <c r="V113" i="1"/>
  <c r="S113" i="1"/>
  <c r="O113" i="1"/>
  <c r="K113" i="1"/>
  <c r="J113" i="1"/>
  <c r="I113" i="1"/>
  <c r="H113" i="1"/>
  <c r="E113" i="1"/>
  <c r="B113" i="1"/>
  <c r="BW33" i="1"/>
  <c r="AY33" i="1"/>
  <c r="AQ33" i="1"/>
  <c r="AP33" i="1"/>
  <c r="AG33" i="1"/>
  <c r="AF33" i="1"/>
  <c r="AE33" i="1"/>
  <c r="AD33" i="1"/>
  <c r="AC33" i="1"/>
  <c r="AB33" i="1"/>
  <c r="AA33" i="1"/>
  <c r="Z33" i="1"/>
  <c r="Y33" i="1"/>
  <c r="U33" i="1"/>
  <c r="T33" i="1"/>
  <c r="R33" i="1"/>
  <c r="Q33" i="1"/>
  <c r="P33" i="1"/>
  <c r="N33" i="1"/>
  <c r="M33" i="1"/>
  <c r="L33" i="1"/>
  <c r="K33" i="1"/>
  <c r="J33" i="1"/>
  <c r="G33" i="1"/>
  <c r="F33" i="1"/>
  <c r="D33" i="1"/>
  <c r="C33" i="1"/>
  <c r="AG32" i="1"/>
  <c r="AF32" i="1"/>
  <c r="AE32" i="1"/>
  <c r="AD32" i="1"/>
  <c r="AC32" i="1"/>
  <c r="AB32" i="1"/>
  <c r="Z32" i="1"/>
  <c r="Y32" i="1"/>
  <c r="U32" i="1"/>
  <c r="T32" i="1"/>
  <c r="R32" i="1"/>
  <c r="Q32" i="1"/>
  <c r="P32" i="1"/>
  <c r="N32" i="1"/>
  <c r="M32" i="1"/>
  <c r="L32" i="1"/>
  <c r="G32" i="1"/>
  <c r="F32" i="1"/>
  <c r="D32" i="1"/>
  <c r="C32" i="1"/>
  <c r="BW31" i="1"/>
  <c r="BV31" i="1"/>
  <c r="BO31" i="1"/>
  <c r="BH31" i="1"/>
  <c r="BG31" i="1"/>
  <c r="BF31" i="1"/>
  <c r="AX31" i="1"/>
  <c r="AQ31" i="1"/>
  <c r="AP31" i="1"/>
  <c r="AI31" i="1"/>
  <c r="AG31" i="1"/>
  <c r="AF31" i="1"/>
  <c r="AE31" i="1"/>
  <c r="AD31" i="1"/>
  <c r="AC31" i="1"/>
  <c r="AB31" i="1"/>
  <c r="Z31" i="1"/>
  <c r="Y31" i="1"/>
  <c r="U31" i="1"/>
  <c r="T31" i="1"/>
  <c r="R31" i="1"/>
  <c r="Q31" i="1"/>
  <c r="P31" i="1"/>
  <c r="N31" i="1"/>
  <c r="M31" i="1"/>
  <c r="L31" i="1"/>
  <c r="K31" i="1"/>
  <c r="J31" i="1"/>
  <c r="G31" i="1"/>
  <c r="F31" i="1"/>
  <c r="D31" i="1"/>
  <c r="C31" i="1"/>
  <c r="AG30" i="1"/>
  <c r="AF30" i="1"/>
  <c r="AE30" i="1"/>
  <c r="AD30" i="1"/>
  <c r="AC30" i="1"/>
  <c r="AB30" i="1"/>
  <c r="Z30" i="1"/>
  <c r="Y30" i="1"/>
  <c r="U30" i="1"/>
  <c r="T30" i="1"/>
  <c r="R30" i="1"/>
  <c r="Q30" i="1"/>
  <c r="P30" i="1"/>
  <c r="N30" i="1"/>
  <c r="M30" i="1"/>
  <c r="L30" i="1"/>
  <c r="G30" i="1"/>
  <c r="F30" i="1"/>
  <c r="D30" i="1"/>
  <c r="C30" i="1"/>
  <c r="CE20" i="1"/>
  <c r="BW20" i="1"/>
  <c r="BV20" i="1"/>
  <c r="AY20" i="1"/>
  <c r="AQ20" i="1"/>
  <c r="AP20" i="1"/>
  <c r="K20" i="1"/>
  <c r="J20" i="1"/>
  <c r="CG19" i="1"/>
  <c r="CG32" i="1" s="1"/>
  <c r="CF19" i="1"/>
  <c r="CF32" i="1" s="1"/>
  <c r="CE19" i="1"/>
  <c r="CE32" i="1" s="1"/>
  <c r="CD19" i="1"/>
  <c r="CD32" i="1" s="1"/>
  <c r="CC19" i="1"/>
  <c r="CC33" i="1" s="1"/>
  <c r="CB19" i="1"/>
  <c r="CB30" i="1" s="1"/>
  <c r="CA19" i="1"/>
  <c r="CA32" i="1" s="1"/>
  <c r="BZ19" i="1"/>
  <c r="BZ32" i="1" s="1"/>
  <c r="BY19" i="1"/>
  <c r="BY32" i="1" s="1"/>
  <c r="BX19" i="1"/>
  <c r="BX32" i="1" s="1"/>
  <c r="BW19" i="1"/>
  <c r="BW32" i="1" s="1"/>
  <c r="BV19" i="1"/>
  <c r="BV32" i="1" s="1"/>
  <c r="BU19" i="1"/>
  <c r="BU33" i="1" s="1"/>
  <c r="BT19" i="1"/>
  <c r="BT30" i="1" s="1"/>
  <c r="BS19" i="1"/>
  <c r="BS32" i="1" s="1"/>
  <c r="BR19" i="1"/>
  <c r="BR32" i="1" s="1"/>
  <c r="BQ19" i="1"/>
  <c r="BQ32" i="1" s="1"/>
  <c r="BP19" i="1"/>
  <c r="BP32" i="1" s="1"/>
  <c r="BO19" i="1"/>
  <c r="BO32" i="1" s="1"/>
  <c r="BN19" i="1"/>
  <c r="BN32" i="1" s="1"/>
  <c r="BM19" i="1"/>
  <c r="BM33" i="1" s="1"/>
  <c r="BL19" i="1"/>
  <c r="BL33" i="1" s="1"/>
  <c r="BK19" i="1"/>
  <c r="BK32" i="1" s="1"/>
  <c r="BJ19" i="1"/>
  <c r="BJ32" i="1" s="1"/>
  <c r="BI19" i="1"/>
  <c r="BI32" i="1" s="1"/>
  <c r="BH19" i="1"/>
  <c r="BH32" i="1" s="1"/>
  <c r="BG19" i="1"/>
  <c r="BG32" i="1" s="1"/>
  <c r="BF19" i="1"/>
  <c r="BF32" i="1" s="1"/>
  <c r="BE19" i="1"/>
  <c r="BD19" i="1"/>
  <c r="BD33" i="1" s="1"/>
  <c r="BC19" i="1"/>
  <c r="BC33" i="1" s="1"/>
  <c r="BB19" i="1"/>
  <c r="BB32" i="1" s="1"/>
  <c r="BA19" i="1"/>
  <c r="BA32" i="1" s="1"/>
  <c r="AZ19" i="1"/>
  <c r="AZ32" i="1" s="1"/>
  <c r="AY19" i="1"/>
  <c r="AY32" i="1" s="1"/>
  <c r="AX19" i="1"/>
  <c r="AX32" i="1" s="1"/>
  <c r="AW19" i="1"/>
  <c r="AW33" i="1" s="1"/>
  <c r="AV19" i="1"/>
  <c r="AV30" i="1" s="1"/>
  <c r="AU19" i="1"/>
  <c r="AU30" i="1" s="1"/>
  <c r="AT19" i="1"/>
  <c r="AT32" i="1" s="1"/>
  <c r="AS19" i="1"/>
  <c r="AS32" i="1" s="1"/>
  <c r="AR19" i="1"/>
  <c r="AR32" i="1" s="1"/>
  <c r="AQ19" i="1"/>
  <c r="AQ32" i="1" s="1"/>
  <c r="AP19" i="1"/>
  <c r="AP32" i="1" s="1"/>
  <c r="AO19" i="1"/>
  <c r="AO33" i="1" s="1"/>
  <c r="AN19" i="1"/>
  <c r="AN33" i="1" s="1"/>
  <c r="AM19" i="1"/>
  <c r="AM32" i="1" s="1"/>
  <c r="AL19" i="1"/>
  <c r="AL32" i="1" s="1"/>
  <c r="AK19" i="1"/>
  <c r="AK32" i="1" s="1"/>
  <c r="AJ19" i="1"/>
  <c r="AJ32" i="1" s="1"/>
  <c r="AI19" i="1"/>
  <c r="AI32" i="1" s="1"/>
  <c r="AH19" i="1"/>
  <c r="AH32" i="1" s="1"/>
  <c r="AA19" i="1"/>
  <c r="AA32" i="1" s="1"/>
  <c r="X19" i="1"/>
  <c r="X33" i="1" s="1"/>
  <c r="W19" i="1"/>
  <c r="W33" i="1" s="1"/>
  <c r="V19" i="1"/>
  <c r="V32" i="1" s="1"/>
  <c r="S19" i="1"/>
  <c r="S32" i="1" s="1"/>
  <c r="O19" i="1"/>
  <c r="O33" i="1" s="1"/>
  <c r="K19" i="1"/>
  <c r="K32" i="1" s="1"/>
  <c r="J19" i="1"/>
  <c r="J32" i="1" s="1"/>
  <c r="I19" i="1"/>
  <c r="I33" i="1" s="1"/>
  <c r="H19" i="1"/>
  <c r="H32" i="1" s="1"/>
  <c r="E19" i="1"/>
  <c r="E32" i="1" s="1"/>
  <c r="B19" i="1"/>
  <c r="B33" i="1" s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Q20" i="1" s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G20" i="1" s="1"/>
  <c r="AF18" i="1"/>
  <c r="AF20" i="1" s="1"/>
  <c r="AE18" i="1"/>
  <c r="AE20" i="1" s="1"/>
  <c r="AD18" i="1"/>
  <c r="AD20" i="1" s="1"/>
  <c r="AC18" i="1"/>
  <c r="AC20" i="1" s="1"/>
  <c r="AB18" i="1"/>
  <c r="AB20" i="1" s="1"/>
  <c r="AA18" i="1"/>
  <c r="AA20" i="1" s="1"/>
  <c r="Z18" i="1"/>
  <c r="Z20" i="1" s="1"/>
  <c r="Y18" i="1"/>
  <c r="Y20" i="1" s="1"/>
  <c r="X18" i="1"/>
  <c r="W18" i="1"/>
  <c r="V18" i="1"/>
  <c r="U18" i="1"/>
  <c r="U20" i="1" s="1"/>
  <c r="T18" i="1"/>
  <c r="T20" i="1" s="1"/>
  <c r="S18" i="1"/>
  <c r="R18" i="1"/>
  <c r="R20" i="1" s="1"/>
  <c r="Q18" i="1"/>
  <c r="Q20" i="1" s="1"/>
  <c r="P18" i="1"/>
  <c r="P20" i="1" s="1"/>
  <c r="O18" i="1"/>
  <c r="N18" i="1"/>
  <c r="N20" i="1" s="1"/>
  <c r="M18" i="1"/>
  <c r="M20" i="1" s="1"/>
  <c r="L18" i="1"/>
  <c r="L20" i="1" s="1"/>
  <c r="K18" i="1"/>
  <c r="J18" i="1"/>
  <c r="I18" i="1"/>
  <c r="H18" i="1"/>
  <c r="G18" i="1"/>
  <c r="G20" i="1" s="1"/>
  <c r="F18" i="1"/>
  <c r="F20" i="1" s="1"/>
  <c r="E18" i="1"/>
  <c r="D18" i="1"/>
  <c r="D20" i="1" s="1"/>
  <c r="C18" i="1"/>
  <c r="C20" i="1" s="1"/>
  <c r="B18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BF20" i="1" l="1"/>
  <c r="BG20" i="1"/>
  <c r="AH20" i="1"/>
  <c r="CD31" i="1"/>
  <c r="AH33" i="1"/>
  <c r="AI20" i="1"/>
  <c r="BO20" i="1"/>
  <c r="AY31" i="1"/>
  <c r="CE31" i="1"/>
  <c r="AI33" i="1"/>
  <c r="BO33" i="1"/>
  <c r="BE33" i="1"/>
  <c r="BF33" i="1"/>
  <c r="O32" i="1"/>
  <c r="BG33" i="1"/>
  <c r="BY20" i="1"/>
  <c r="BN20" i="1"/>
  <c r="S33" i="1"/>
  <c r="BN33" i="1"/>
  <c r="AJ20" i="1"/>
  <c r="BP20" i="1"/>
  <c r="AZ31" i="1"/>
  <c r="CF31" i="1"/>
  <c r="AJ33" i="1"/>
  <c r="BP33" i="1"/>
  <c r="BV33" i="1"/>
  <c r="O30" i="1"/>
  <c r="AR20" i="1"/>
  <c r="BX20" i="1"/>
  <c r="AR33" i="1"/>
  <c r="BX33" i="1"/>
  <c r="AX20" i="1"/>
  <c r="CD20" i="1"/>
  <c r="S31" i="1"/>
  <c r="AH31" i="1"/>
  <c r="BN31" i="1"/>
  <c r="AX33" i="1"/>
  <c r="CD33" i="1"/>
  <c r="S20" i="1"/>
  <c r="CE33" i="1"/>
  <c r="CG20" i="1"/>
  <c r="BE20" i="1"/>
  <c r="AZ20" i="1"/>
  <c r="CF20" i="1"/>
  <c r="AJ31" i="1"/>
  <c r="BP31" i="1"/>
  <c r="AZ33" i="1"/>
  <c r="CF33" i="1"/>
  <c r="BH20" i="1"/>
  <c r="AA31" i="1"/>
  <c r="AR31" i="1"/>
  <c r="BX31" i="1"/>
  <c r="BH33" i="1"/>
  <c r="W30" i="1"/>
  <c r="BC30" i="1"/>
  <c r="BC32" i="1"/>
  <c r="X30" i="1"/>
  <c r="BD30" i="1"/>
  <c r="X32" i="1"/>
  <c r="AN32" i="1"/>
  <c r="BD32" i="1"/>
  <c r="CB32" i="1"/>
  <c r="AS20" i="1"/>
  <c r="BI20" i="1"/>
  <c r="AW30" i="1"/>
  <c r="BM30" i="1"/>
  <c r="CC30" i="1"/>
  <c r="AK31" i="1"/>
  <c r="BA31" i="1"/>
  <c r="BQ31" i="1"/>
  <c r="BY31" i="1"/>
  <c r="AO32" i="1"/>
  <c r="BE32" i="1"/>
  <c r="BU32" i="1"/>
  <c r="AS33" i="1"/>
  <c r="BA33" i="1"/>
  <c r="BQ33" i="1"/>
  <c r="CG33" i="1"/>
  <c r="V20" i="1"/>
  <c r="AL20" i="1"/>
  <c r="AT20" i="1"/>
  <c r="BB20" i="1"/>
  <c r="BJ20" i="1"/>
  <c r="BR20" i="1"/>
  <c r="BZ20" i="1"/>
  <c r="B30" i="1"/>
  <c r="J30" i="1"/>
  <c r="AH30" i="1"/>
  <c r="AP30" i="1"/>
  <c r="AX30" i="1"/>
  <c r="BF30" i="1"/>
  <c r="BN30" i="1"/>
  <c r="BV30" i="1"/>
  <c r="CD30" i="1"/>
  <c r="V31" i="1"/>
  <c r="AL31" i="1"/>
  <c r="AT31" i="1"/>
  <c r="BB31" i="1"/>
  <c r="BJ31" i="1"/>
  <c r="BR31" i="1"/>
  <c r="BZ31" i="1"/>
  <c r="B32" i="1"/>
  <c r="V33" i="1"/>
  <c r="AL33" i="1"/>
  <c r="AT33" i="1"/>
  <c r="BB33" i="1"/>
  <c r="BJ33" i="1"/>
  <c r="BR33" i="1"/>
  <c r="BZ33" i="1"/>
  <c r="AM30" i="1"/>
  <c r="BS30" i="1"/>
  <c r="W32" i="1"/>
  <c r="H30" i="1"/>
  <c r="AN30" i="1"/>
  <c r="AV32" i="1"/>
  <c r="BL32" i="1"/>
  <c r="E20" i="1"/>
  <c r="AK20" i="1"/>
  <c r="BA20" i="1"/>
  <c r="I30" i="1"/>
  <c r="AO30" i="1"/>
  <c r="BE30" i="1"/>
  <c r="BU30" i="1"/>
  <c r="E31" i="1"/>
  <c r="AS31" i="1"/>
  <c r="BI31" i="1"/>
  <c r="CG31" i="1"/>
  <c r="I32" i="1"/>
  <c r="AW32" i="1"/>
  <c r="BM32" i="1"/>
  <c r="CC32" i="1"/>
  <c r="E33" i="1"/>
  <c r="AK33" i="1"/>
  <c r="BI33" i="1"/>
  <c r="BY33" i="1"/>
  <c r="O20" i="1"/>
  <c r="W20" i="1"/>
  <c r="AM20" i="1"/>
  <c r="AU20" i="1"/>
  <c r="BC20" i="1"/>
  <c r="BK20" i="1"/>
  <c r="BS20" i="1"/>
  <c r="CA20" i="1"/>
  <c r="K30" i="1"/>
  <c r="S30" i="1"/>
  <c r="AA30" i="1"/>
  <c r="AI30" i="1"/>
  <c r="AQ30" i="1"/>
  <c r="AY30" i="1"/>
  <c r="BG30" i="1"/>
  <c r="BO30" i="1"/>
  <c r="BW30" i="1"/>
  <c r="CE30" i="1"/>
  <c r="O31" i="1"/>
  <c r="W31" i="1"/>
  <c r="AM31" i="1"/>
  <c r="AU31" i="1"/>
  <c r="BC31" i="1"/>
  <c r="BK31" i="1"/>
  <c r="BS31" i="1"/>
  <c r="CA31" i="1"/>
  <c r="AM33" i="1"/>
  <c r="AU33" i="1"/>
  <c r="BK33" i="1"/>
  <c r="BS33" i="1"/>
  <c r="CA33" i="1"/>
  <c r="BL30" i="1"/>
  <c r="BT32" i="1"/>
  <c r="H20" i="1"/>
  <c r="X20" i="1"/>
  <c r="AN20" i="1"/>
  <c r="AV20" i="1"/>
  <c r="BD20" i="1"/>
  <c r="BL20" i="1"/>
  <c r="BT20" i="1"/>
  <c r="CB20" i="1"/>
  <c r="AJ30" i="1"/>
  <c r="AR30" i="1"/>
  <c r="AZ30" i="1"/>
  <c r="BH30" i="1"/>
  <c r="BP30" i="1"/>
  <c r="BX30" i="1"/>
  <c r="CF30" i="1"/>
  <c r="H31" i="1"/>
  <c r="X31" i="1"/>
  <c r="AN31" i="1"/>
  <c r="AV31" i="1"/>
  <c r="BD31" i="1"/>
  <c r="BL31" i="1"/>
  <c r="BT31" i="1"/>
  <c r="CB31" i="1"/>
  <c r="H33" i="1"/>
  <c r="AV33" i="1"/>
  <c r="BT33" i="1"/>
  <c r="CB33" i="1"/>
  <c r="BK30" i="1"/>
  <c r="AU32" i="1"/>
  <c r="I20" i="1"/>
  <c r="AO20" i="1"/>
  <c r="AW20" i="1"/>
  <c r="BM20" i="1"/>
  <c r="BU20" i="1"/>
  <c r="CC20" i="1"/>
  <c r="E30" i="1"/>
  <c r="AK30" i="1"/>
  <c r="AS30" i="1"/>
  <c r="BA30" i="1"/>
  <c r="BI30" i="1"/>
  <c r="BQ30" i="1"/>
  <c r="BY30" i="1"/>
  <c r="CG30" i="1"/>
  <c r="I31" i="1"/>
  <c r="AO31" i="1"/>
  <c r="AW31" i="1"/>
  <c r="BE31" i="1"/>
  <c r="BM31" i="1"/>
  <c r="BU31" i="1"/>
  <c r="CC31" i="1"/>
  <c r="B20" i="1"/>
  <c r="V30" i="1"/>
  <c r="AL30" i="1"/>
  <c r="AT30" i="1"/>
  <c r="BB30" i="1"/>
  <c r="BJ30" i="1"/>
  <c r="BR30" i="1"/>
  <c r="BZ30" i="1"/>
  <c r="B31" i="1"/>
  <c r="CA30" i="1"/>
</calcChain>
</file>

<file path=xl/sharedStrings.xml><?xml version="1.0" encoding="utf-8"?>
<sst xmlns="http://schemas.openxmlformats.org/spreadsheetml/2006/main" count="1387" uniqueCount="178">
  <si>
    <t xml:space="preserve">Project </t>
  </si>
  <si>
    <t>Musk Ox Samples (Soil, Hair, Vegetation)</t>
  </si>
  <si>
    <t>Client</t>
  </si>
  <si>
    <t>McCaide Wooten, DVM, MPVM </t>
  </si>
  <si>
    <t>Date of Report</t>
  </si>
  <si>
    <t>Centrifuge Tube Broke</t>
  </si>
  <si>
    <t>it is 1:1 water:soil</t>
  </si>
  <si>
    <t>half ICP-half Other tests</t>
  </si>
  <si>
    <t xml:space="preserve">Batch 5 </t>
  </si>
  <si>
    <t>Sample ID</t>
  </si>
  <si>
    <t>UC721-MX-21-01-Carcass Soil centre</t>
  </si>
  <si>
    <t>UC721-MX-21-01-Soil-12M</t>
  </si>
  <si>
    <t>UC721-MX-21-03-Soil-Carcass centre</t>
  </si>
  <si>
    <t>UC721-MX-21-03-Soil-15M</t>
  </si>
  <si>
    <t>UC721-MX-21-04-Soil-Carcass centre</t>
  </si>
  <si>
    <t>UC721-MX-21-04-Soil-15M</t>
  </si>
  <si>
    <t>UC721-MX-21-07-Soil-Carcass centre</t>
  </si>
  <si>
    <t>UC721-MX-21-07-Soil-15M</t>
  </si>
  <si>
    <t>UC721-MX-21-08-Soil-Carcass centre</t>
  </si>
  <si>
    <t>UC721-MX-21-08-Soil-15M</t>
  </si>
  <si>
    <t>UC721-MX-21-09-Soil-Carcass centre</t>
  </si>
  <si>
    <t>UC721-MX-21-09-Soil-15M</t>
  </si>
  <si>
    <t>UC721-MX-21-10-Soil-Carcass centre</t>
  </si>
  <si>
    <t>UC721-MX-21-10-Soil-15M</t>
  </si>
  <si>
    <t>UC721-MX-21-13-Soil-Carcass centre</t>
  </si>
  <si>
    <t>UC721-MX-21-13-Soil-15M</t>
  </si>
  <si>
    <t>UC721-MX-21-16-Soil-Carcass centre</t>
  </si>
  <si>
    <t>UC721-MX-21-16-Soil-15M</t>
  </si>
  <si>
    <t>UC721-MX-21-19-Soil-Carcass centre</t>
  </si>
  <si>
    <t>UC721-MX-21-19-Soil-15M</t>
  </si>
  <si>
    <t>UC721-MX-21-21-Soil-Carcass centre</t>
  </si>
  <si>
    <t>UC721-MX-21-21-Soil-15M</t>
  </si>
  <si>
    <t>UC721-MX-21-24-Soil-Carcass centre</t>
  </si>
  <si>
    <t>UC721-MX-21-24-Soil-15M</t>
  </si>
  <si>
    <t>UC721-MX-21-25-Soil-Carcass centre</t>
  </si>
  <si>
    <t>UC721-MX-21-25-Soil-15M</t>
  </si>
  <si>
    <t>UC721-MX-21-26A-Soil-Carcass centre</t>
  </si>
  <si>
    <t>UC721-MX-21-26A-Soil-15M</t>
  </si>
  <si>
    <t>UC721-MX-21-26B-Soil-Carcass centre</t>
  </si>
  <si>
    <t>UC721-MX-21-26B-Soil-15M</t>
  </si>
  <si>
    <t>UC721-MX-22-44-Soil-Carcass centre</t>
  </si>
  <si>
    <t>UC721-MX-22-44-Soil-15M</t>
  </si>
  <si>
    <t>UC721-MX-22-46-Soil-Carcass centre</t>
  </si>
  <si>
    <t>UC721-MX-22-46-Soil-15M</t>
  </si>
  <si>
    <t>UCID681-MX-21-01-Soil-carcass</t>
  </si>
  <si>
    <t>UCID681-MX-21-01-Soil-10M-control</t>
  </si>
  <si>
    <t>UCID681-MX-21-03-Soil @ carcass site</t>
  </si>
  <si>
    <t>MX-21-03-Soil-control</t>
  </si>
  <si>
    <t>UCID681-MX-21-4-carcass</t>
  </si>
  <si>
    <t>UCID681-MX-21-4-control</t>
  </si>
  <si>
    <t>UCID681-MX-21-07-Soil @ carcass site</t>
  </si>
  <si>
    <t>UCID681-MX-21-07-Soil-15M-control</t>
  </si>
  <si>
    <t>UCID681-MX-21-08-Soil @ carcass site</t>
  </si>
  <si>
    <t>UCID681-MX-21-08-Soil-15M-control</t>
  </si>
  <si>
    <t>UCID681-MX-21-09-Soil @ carcass site</t>
  </si>
  <si>
    <t>UCID681-MX-21-09-Soil-15M-control</t>
  </si>
  <si>
    <t>UCID681-MX-21-10-Soil @ carcass site</t>
  </si>
  <si>
    <t>UCID681-MX-21-10-15M-Soil control</t>
  </si>
  <si>
    <t>UCID681-MX-21-13-carcass</t>
  </si>
  <si>
    <t>UCID681-MX-21-13-Soil-15M</t>
  </si>
  <si>
    <t>UCID681-MX-21-16-Soil @ carcass site</t>
  </si>
  <si>
    <t>UCID681-MX-21-16-Soil @ 15M control</t>
  </si>
  <si>
    <t>UCID681-MX-21-19-carcass</t>
  </si>
  <si>
    <t>UCID681-MX-21-19-control-15M</t>
  </si>
  <si>
    <t>UCID681-MX-21-21-Soil-@carcass site</t>
  </si>
  <si>
    <t>UCID681-MX-21-21-Soil-15M-control</t>
  </si>
  <si>
    <t>MX-21-24-Carcass</t>
  </si>
  <si>
    <t>MX-21-24-15M</t>
  </si>
  <si>
    <t>UCID681-MX-21-25-Soil @ carcass site</t>
  </si>
  <si>
    <t>UCID681-MX-21-25-Soil-15M-control</t>
  </si>
  <si>
    <t>UCID681-MX-21-26A-Soil @ carcass site</t>
  </si>
  <si>
    <t>UCID681-MX-21-26A-Soil-15M-control</t>
  </si>
  <si>
    <t>UCID681-MX-21-26B-Soil-carcass</t>
  </si>
  <si>
    <t>UCID681-MX-21-26B-Soil-15M-control</t>
  </si>
  <si>
    <t>UCID681-MX-22-44-Soil@ carcass site</t>
  </si>
  <si>
    <t>UCID681-MX-22-46-carcass</t>
  </si>
  <si>
    <t>UCID681-MX-22-46-control</t>
  </si>
  <si>
    <t>UCID634-MX-21-1-Soil-Aug15,22</t>
  </si>
  <si>
    <t>MX-21-03-UCID634-Aug14/22-Dirt</t>
  </si>
  <si>
    <t>MX-21-04-UCID634-17Aug22</t>
  </si>
  <si>
    <t>MX-21-07-dirt-UCID634-Aug14/22</t>
  </si>
  <si>
    <t>UCID634-MX-21-8-15Aug22-Dirt</t>
  </si>
  <si>
    <t>UCID634-MX-21-9-15Aug22-Soil</t>
  </si>
  <si>
    <t>MX-21-10-Ado+-Aug15/22-Soil-UCID634</t>
  </si>
  <si>
    <t>MX-21-13-Dirt-16Aug22-UCID634</t>
  </si>
  <si>
    <t>MX-21-16-Soil-UCID634-15Aug22</t>
  </si>
  <si>
    <t>MX-21-19(maybe)-UCID634-16Aug22-Adult</t>
  </si>
  <si>
    <t>MX-21-21-18Aug22-UCID634</t>
  </si>
  <si>
    <t>MX-21-24-Dirt-UCID634</t>
  </si>
  <si>
    <t>MX-21-25-UCID632-Soil</t>
  </si>
  <si>
    <t>MX-21-26A-UCID634-Soil-Aug14/22</t>
  </si>
  <si>
    <t>MX-21-26B-Q-Soil-UCID 634</t>
  </si>
  <si>
    <t>UCID634-MX-22-44-Soil-Aug18,22</t>
  </si>
  <si>
    <t>UCID634-MX-22-46-Aug19,22</t>
  </si>
  <si>
    <t xml:space="preserve">Sample # </t>
  </si>
  <si>
    <t>Sample Description</t>
  </si>
  <si>
    <t xml:space="preserve">Mostly Plant </t>
  </si>
  <si>
    <t>Mostly sandy soil / Some Plant</t>
  </si>
  <si>
    <t>Plant and Fine Grained Soil Mix</t>
  </si>
  <si>
    <t>Sandy Clay</t>
  </si>
  <si>
    <t>Sandy Clay Soil</t>
  </si>
  <si>
    <t>Plant and Fine Grained Soil</t>
  </si>
  <si>
    <t>Sandy Soil</t>
  </si>
  <si>
    <t>Mostly Plant</t>
  </si>
  <si>
    <t>Sandy Soil, Some Plant</t>
  </si>
  <si>
    <t>Mostly Plant and Hair</t>
  </si>
  <si>
    <t>Plant and Hair</t>
  </si>
  <si>
    <t>Soil, Plant and Hair</t>
  </si>
  <si>
    <t>Mostly Hair</t>
  </si>
  <si>
    <t>Plant and Soil Mix</t>
  </si>
  <si>
    <t>All Plant</t>
  </si>
  <si>
    <t>Hair</t>
  </si>
  <si>
    <t xml:space="preserve">Sample Moisture (105C for 2 hours) </t>
  </si>
  <si>
    <t xml:space="preserve">Gross Wet (g) </t>
  </si>
  <si>
    <t>Gross Dry (g)</t>
  </si>
  <si>
    <t xml:space="preserve">Vial Tare (g) </t>
  </si>
  <si>
    <t>% Moisture</t>
  </si>
  <si>
    <t>Water Holding Capacity (modified for small sample size)</t>
  </si>
  <si>
    <t>Sample Gross Dry (g) (after seprating 0.5 g for ICP)</t>
  </si>
  <si>
    <t>Sample Gross Dry (g)+ water</t>
  </si>
  <si>
    <t xml:space="preserve">Net Soil (g) </t>
  </si>
  <si>
    <t>Water Content (g) at Saturation Point</t>
  </si>
  <si>
    <t xml:space="preserve">Soil's Water Holding Capacity (%) </t>
  </si>
  <si>
    <t>Extracted Water pH (From Saturated Paste)</t>
  </si>
  <si>
    <t>No Sample</t>
  </si>
  <si>
    <t>Extracted Water Total Carbon / Total Inorganic Carbon (CO3) / Total Organic Carbon / Total Nitrogen</t>
  </si>
  <si>
    <t>Total Water Soluble Carbon (mg/L)</t>
  </si>
  <si>
    <t>Total Water Soluble Inorganic Carbon (mg/L)</t>
  </si>
  <si>
    <t>Total Water Soluble Organic Carbon (mg/L)</t>
  </si>
  <si>
    <t>Total Water Soluble Nitrogen (mg/L)</t>
  </si>
  <si>
    <t>Total Water Soluble Carbon (mg/kg soil dry basis)</t>
  </si>
  <si>
    <t>Total Water Soluble Organic Carbon (mg/kg soil dry basis)</t>
  </si>
  <si>
    <t>Total Water Soluble Inorganic Carbon (mg/kg soil dry basis)</t>
  </si>
  <si>
    <t>Total Water Soluble Nitrogen (mg/kg soil dry basis)</t>
  </si>
  <si>
    <t xml:space="preserve">Water Soluble Ions In Water Extract by ICPMS (mg/L) </t>
  </si>
  <si>
    <t xml:space="preserve">7  Li  [ No Gas ] </t>
  </si>
  <si>
    <t>&lt;MDL</t>
  </si>
  <si>
    <t xml:space="preserve">9  Be  [ No Gas ] </t>
  </si>
  <si>
    <t xml:space="preserve">11  B  [ No Gas ] </t>
  </si>
  <si>
    <t xml:space="preserve">23  Na  [ He ] </t>
  </si>
  <si>
    <t xml:space="preserve">24  Mg  [ He ] </t>
  </si>
  <si>
    <t xml:space="preserve">27  Al  [ He ] </t>
  </si>
  <si>
    <t xml:space="preserve">28 -&gt; 28  Si  [ H2 ] </t>
  </si>
  <si>
    <t xml:space="preserve">35  Cl  [ He ] </t>
  </si>
  <si>
    <t xml:space="preserve">39  K  [ He ] </t>
  </si>
  <si>
    <t xml:space="preserve">31 -&gt; 47  P  [ O2 ] </t>
  </si>
  <si>
    <t xml:space="preserve">32 -&gt; 48  S  [ O2 ] </t>
  </si>
  <si>
    <t xml:space="preserve">40 -&gt; 40  Ca  [ H2 ] </t>
  </si>
  <si>
    <t xml:space="preserve">51  V  [ He ] </t>
  </si>
  <si>
    <t xml:space="preserve">52  Cr  [ He ] </t>
  </si>
  <si>
    <t xml:space="preserve">55  Mn  [ He ] </t>
  </si>
  <si>
    <t xml:space="preserve">56 -&gt; 56  Fe  [ H2 ] </t>
  </si>
  <si>
    <t xml:space="preserve">59  Co  [ He ] </t>
  </si>
  <si>
    <t xml:space="preserve">60  Ni  [ He ] </t>
  </si>
  <si>
    <t xml:space="preserve">63  Cu  [ He ] </t>
  </si>
  <si>
    <t xml:space="preserve">66  Zn  [ He ] </t>
  </si>
  <si>
    <t xml:space="preserve">71  Ga  [ He ] </t>
  </si>
  <si>
    <t xml:space="preserve">85  Rb  [ He ] </t>
  </si>
  <si>
    <t xml:space="preserve">75 -&gt; 91  As  [ O2 ] </t>
  </si>
  <si>
    <t xml:space="preserve">78 -&gt; 94  Se  [ O2 ] </t>
  </si>
  <si>
    <t xml:space="preserve">88 -&gt; 88  Sr  [ H2 ] </t>
  </si>
  <si>
    <t xml:space="preserve">109  Ag  [ He ] </t>
  </si>
  <si>
    <t xml:space="preserve">111  Cd  [ He ] </t>
  </si>
  <si>
    <t xml:space="preserve">133  Cs  [ He ] </t>
  </si>
  <si>
    <t xml:space="preserve">138  Ba  [ He ] </t>
  </si>
  <si>
    <t xml:space="preserve">205 -&gt; 205  Tl  [ H2 ] </t>
  </si>
  <si>
    <t xml:space="preserve">205  Tl  [ He ] </t>
  </si>
  <si>
    <t xml:space="preserve">208  Pb  [ He ] </t>
  </si>
  <si>
    <t xml:space="preserve">232 -&gt; 232  Th  [ H2 ] </t>
  </si>
  <si>
    <t xml:space="preserve">238  U  [ No Gas ] </t>
  </si>
  <si>
    <t xml:space="preserve">Water Soluble Ions In Soil by ICPMS (mg/kg Dry Weight Basis) </t>
  </si>
  <si>
    <t>ICP Soil Acid Digestion</t>
  </si>
  <si>
    <t>Dry Soil Gross (g)</t>
  </si>
  <si>
    <t xml:space="preserve">Tare (g) </t>
  </si>
  <si>
    <t xml:space="preserve"> Soil Net  (g)</t>
  </si>
  <si>
    <t xml:space="preserve">Final Dilution Volume (L) </t>
  </si>
  <si>
    <t xml:space="preserve">Data Summary Acid Digest Soil (mg/Kg Dry Weight Basis) </t>
  </si>
  <si>
    <t>&lt; 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</si>
</sst>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79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0" fillId="0" borderId="1" xfId="0" applyBorder="1"/>
    <xf numFmtId="0" fontId="5" fillId="0" borderId="0" xfId="0" applyFont="1" applyAlignment="1">
      <alignment horizontal="left"/>
    </xf>
    <xf numFmtId="15" fontId="5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8" fillId="0" borderId="0" xfId="0" applyFont="1"/>
    <xf numFmtId="0" fontId="9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2" applyFont="1" applyAlignment="1">
      <alignment horizontal="center"/>
    </xf>
    <xf numFmtId="0" fontId="1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8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2" xfId="0" applyBorder="1"/>
    <xf numFmtId="0" fontId="10" fillId="0" borderId="2" xfId="2" applyFont="1" applyBorder="1" applyAlignment="1">
      <alignment horizontal="center"/>
    </xf>
    <xf numFmtId="0" fontId="10" fillId="0" borderId="3" xfId="2" applyFont="1" applyBorder="1" applyAlignment="1">
      <alignment horizontal="center"/>
    </xf>
    <xf numFmtId="0" fontId="4" fillId="0" borderId="4" xfId="0" applyFont="1" applyBorder="1"/>
    <xf numFmtId="0" fontId="3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0" xfId="0" applyFont="1"/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0" fontId="3" fillId="0" borderId="2" xfId="0" applyFont="1" applyBorder="1"/>
    <xf numFmtId="16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5" fontId="3" fillId="0" borderId="0" xfId="1" applyNumberFormat="1" applyFont="1" applyAlignment="1">
      <alignment horizontal="center"/>
    </xf>
    <xf numFmtId="165" fontId="3" fillId="0" borderId="1" xfId="1" applyNumberFormat="1" applyFont="1" applyBorder="1" applyAlignment="1">
      <alignment horizontal="center"/>
    </xf>
    <xf numFmtId="165" fontId="3" fillId="0" borderId="2" xfId="1" applyNumberFormat="1" applyFont="1" applyBorder="1" applyAlignment="1">
      <alignment horizontal="center"/>
    </xf>
    <xf numFmtId="165" fontId="3" fillId="0" borderId="3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center"/>
    </xf>
    <xf numFmtId="0" fontId="0" fillId="0" borderId="4" xfId="0" applyBorder="1"/>
    <xf numFmtId="0" fontId="0" fillId="0" borderId="4" xfId="1" applyNumberFormat="1" applyFont="1" applyBorder="1" applyAlignment="1">
      <alignment horizontal="center"/>
    </xf>
    <xf numFmtId="165" fontId="0" fillId="0" borderId="5" xfId="1" applyNumberFormat="1" applyFont="1" applyBorder="1" applyAlignment="1">
      <alignment horizontal="center"/>
    </xf>
    <xf numFmtId="0" fontId="0" fillId="0" borderId="5" xfId="0" applyBorder="1"/>
    <xf numFmtId="0" fontId="0" fillId="0" borderId="3" xfId="0" applyBorder="1" applyAlignment="1">
      <alignment horizontal="center"/>
    </xf>
    <xf numFmtId="165" fontId="0" fillId="0" borderId="2" xfId="1" applyNumberFormat="1" applyFont="1" applyBorder="1" applyAlignment="1">
      <alignment horizontal="center"/>
    </xf>
    <xf numFmtId="165" fontId="0" fillId="0" borderId="3" xfId="1" applyNumberFormat="1" applyFont="1" applyBorder="1" applyAlignment="1">
      <alignment horizontal="center"/>
    </xf>
    <xf numFmtId="0" fontId="0" fillId="0" borderId="3" xfId="0" applyBorder="1"/>
    <xf numFmtId="2" fontId="3" fillId="0" borderId="4" xfId="1" applyNumberFormat="1" applyFont="1" applyBorder="1" applyAlignment="1">
      <alignment horizontal="center"/>
    </xf>
    <xf numFmtId="0" fontId="3" fillId="0" borderId="4" xfId="1" applyNumberFormat="1" applyFont="1" applyBorder="1" applyAlignment="1">
      <alignment horizontal="center"/>
    </xf>
    <xf numFmtId="0" fontId="3" fillId="0" borderId="5" xfId="1" applyNumberFormat="1" applyFont="1" applyBorder="1" applyAlignment="1">
      <alignment horizontal="center"/>
    </xf>
    <xf numFmtId="0" fontId="3" fillId="0" borderId="4" xfId="0" applyFont="1" applyBorder="1"/>
    <xf numFmtId="164" fontId="0" fillId="0" borderId="4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0" borderId="0" xfId="0" applyNumberFormat="1"/>
    <xf numFmtId="166" fontId="0" fillId="0" borderId="1" xfId="0" applyNumberFormat="1" applyBorder="1"/>
    <xf numFmtId="0" fontId="9" fillId="0" borderId="5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4" xfId="2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2" borderId="0" xfId="0" applyFont="1" applyFill="1"/>
    <xf numFmtId="164" fontId="0" fillId="2" borderId="0" xfId="0" applyNumberFormat="1" applyFill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2" borderId="0" xfId="0" applyFill="1"/>
    <xf numFmtId="164" fontId="0" fillId="0" borderId="0" xfId="0" applyNumberFormat="1"/>
    <xf numFmtId="164" fontId="0" fillId="0" borderId="2" xfId="0" applyNumberFormat="1" applyBorder="1"/>
    <xf numFmtId="0" fontId="4" fillId="0" borderId="2" xfId="0" applyFont="1" applyBorder="1"/>
    <xf numFmtId="0" fontId="9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3" fillId="0" borderId="5" xfId="0" applyFont="1" applyBorder="1"/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UCID681-MX-22-44-Soil@%20carcass%20site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UCID681-MX-22-44-Soil@%20carcass%20site" TargetMode="External"/><Relationship Id="rId7" Type="http://schemas.openxmlformats.org/officeDocument/2006/relationships/hyperlink" Target="mailto:UCID681-MX-22-44-Soil@%20carcass%20site" TargetMode="External"/><Relationship Id="rId12" Type="http://schemas.openxmlformats.org/officeDocument/2006/relationships/hyperlink" Target="mailto:UCID681-MX-22-44-Soil@%20carcass%20site" TargetMode="External"/><Relationship Id="rId2" Type="http://schemas.openxmlformats.org/officeDocument/2006/relationships/hyperlink" Target="mailto:UCID681-MX-21-21-Soil-@carcass%20site" TargetMode="External"/><Relationship Id="rId1" Type="http://schemas.openxmlformats.org/officeDocument/2006/relationships/hyperlink" Target="mailto:UCID681-MX-21-21-Soil-@carcass%20site" TargetMode="External"/><Relationship Id="rId6" Type="http://schemas.openxmlformats.org/officeDocument/2006/relationships/hyperlink" Target="mailto:UCID681-MX-21-21-Soil-@carcass%20site" TargetMode="External"/><Relationship Id="rId11" Type="http://schemas.openxmlformats.org/officeDocument/2006/relationships/hyperlink" Target="mailto:UCID681-MX-22-44-Soil@%20carcass%20site" TargetMode="External"/><Relationship Id="rId5" Type="http://schemas.openxmlformats.org/officeDocument/2006/relationships/hyperlink" Target="mailto:UCID681-MX-21-21-Soil-@carcass%20site" TargetMode="External"/><Relationship Id="rId10" Type="http://schemas.openxmlformats.org/officeDocument/2006/relationships/hyperlink" Target="mailto:UCID681-MX-21-21-Soil-@carcass%20site" TargetMode="External"/><Relationship Id="rId4" Type="http://schemas.openxmlformats.org/officeDocument/2006/relationships/hyperlink" Target="mailto:UCID681-MX-22-44-Soil@%20carcass%20site" TargetMode="External"/><Relationship Id="rId9" Type="http://schemas.openxmlformats.org/officeDocument/2006/relationships/hyperlink" Target="mailto:UCID681-MX-21-21-Soil-@carcass%20si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Z206"/>
  <sheetViews>
    <sheetView tabSelected="1" workbookViewId="0"/>
  </sheetViews>
  <sheetFormatPr defaultRowHeight="14.4" x14ac:dyDescent="0.3"/>
  <cols>
    <col min="1" max="1" width="69.6640625" customWidth="1"/>
    <col min="2" max="2" width="38.44140625" customWidth="1"/>
    <col min="3" max="3" width="28.5546875" bestFit="1" customWidth="1"/>
    <col min="4" max="4" width="33.88671875" bestFit="1" customWidth="1"/>
    <col min="5" max="5" width="24.6640625" bestFit="1" customWidth="1"/>
    <col min="6" max="6" width="33.88671875" bestFit="1" customWidth="1"/>
    <col min="7" max="7" width="24.6640625" bestFit="1" customWidth="1"/>
    <col min="8" max="8" width="33.88671875" bestFit="1" customWidth="1"/>
    <col min="9" max="9" width="32.44140625" customWidth="1"/>
    <col min="10" max="16" width="33.88671875" bestFit="1" customWidth="1"/>
    <col min="17" max="17" width="24.6640625" bestFit="1" customWidth="1"/>
    <col min="18" max="20" width="33.88671875" bestFit="1" customWidth="1"/>
    <col min="21" max="21" width="24.6640625" bestFit="1" customWidth="1"/>
    <col min="22" max="22" width="33.88671875" bestFit="1" customWidth="1"/>
    <col min="23" max="23" width="24.6640625" bestFit="1" customWidth="1"/>
    <col min="24" max="24" width="33.88671875" bestFit="1" customWidth="1"/>
    <col min="25" max="25" width="24.6640625" bestFit="1" customWidth="1"/>
    <col min="26" max="26" width="33.88671875" bestFit="1" customWidth="1"/>
    <col min="27" max="27" width="29.33203125" bestFit="1" customWidth="1"/>
    <col min="28" max="28" width="35.109375" bestFit="1" customWidth="1"/>
    <col min="29" max="29" width="26.109375" bestFit="1" customWidth="1"/>
    <col min="30" max="30" width="35" bestFit="1" customWidth="1"/>
    <col min="31" max="31" width="29.33203125" bestFit="1" customWidth="1"/>
    <col min="32" max="32" width="33.88671875" bestFit="1" customWidth="1"/>
    <col min="33" max="33" width="24.6640625" bestFit="1" customWidth="1"/>
    <col min="34" max="34" width="33.88671875" bestFit="1" customWidth="1"/>
    <col min="35" max="35" width="24.6640625" bestFit="1" customWidth="1"/>
    <col min="36" max="36" width="29" bestFit="1" customWidth="1"/>
    <col min="37" max="37" width="34" bestFit="1" customWidth="1"/>
    <col min="38" max="38" width="35" bestFit="1" customWidth="1"/>
    <col min="39" max="39" width="28.5546875" bestFit="1" customWidth="1"/>
    <col min="40" max="40" width="23.88671875" bestFit="1" customWidth="1"/>
    <col min="41" max="41" width="24" bestFit="1" customWidth="1"/>
    <col min="42" max="42" width="35" bestFit="1" customWidth="1"/>
    <col min="43" max="43" width="34" bestFit="1" customWidth="1"/>
    <col min="44" max="44" width="35" bestFit="1" customWidth="1"/>
    <col min="45" max="45" width="34" bestFit="1" customWidth="1"/>
    <col min="46" max="46" width="35" bestFit="1" customWidth="1"/>
    <col min="47" max="47" width="34" bestFit="1" customWidth="1"/>
    <col min="48" max="48" width="35" bestFit="1" customWidth="1"/>
    <col min="49" max="49" width="33.5546875" bestFit="1" customWidth="1"/>
    <col min="50" max="50" width="24.88671875" bestFit="1" customWidth="1"/>
    <col min="51" max="51" width="26.6640625" bestFit="1" customWidth="1"/>
    <col min="52" max="52" width="35" bestFit="1" customWidth="1"/>
    <col min="53" max="53" width="35.6640625" bestFit="1" customWidth="1"/>
    <col min="54" max="54" width="28.5546875" bestFit="1" customWidth="1"/>
    <col min="55" max="55" width="29.88671875" bestFit="1" customWidth="1"/>
    <col min="56" max="56" width="34.88671875" bestFit="1" customWidth="1"/>
    <col min="57" max="57" width="34" bestFit="1" customWidth="1"/>
    <col min="58" max="58" width="16.6640625" bestFit="1" customWidth="1"/>
    <col min="59" max="59" width="14.109375" bestFit="1" customWidth="1"/>
    <col min="60" max="60" width="36.33203125" bestFit="1" customWidth="1"/>
    <col min="61" max="62" width="35.33203125" bestFit="1" customWidth="1"/>
    <col min="63" max="64" width="30.33203125" bestFit="1" customWidth="1"/>
    <col min="65" max="65" width="35.109375" bestFit="1" customWidth="1"/>
    <col min="66" max="66" width="34.5546875" bestFit="1" customWidth="1"/>
    <col min="67" max="67" width="24.88671875" bestFit="1" customWidth="1"/>
    <col min="68" max="68" width="25" bestFit="1" customWidth="1"/>
    <col min="69" max="69" width="30" bestFit="1" customWidth="1"/>
    <col min="70" max="70" width="35" bestFit="1" customWidth="1"/>
    <col min="71" max="71" width="26.33203125" bestFit="1" customWidth="1"/>
    <col min="72" max="72" width="31.109375" bestFit="1" customWidth="1"/>
    <col min="73" max="74" width="29.33203125" bestFit="1" customWidth="1"/>
    <col min="75" max="75" width="36.6640625" bestFit="1" customWidth="1"/>
    <col min="76" max="77" width="30.44140625" bestFit="1" customWidth="1"/>
    <col min="78" max="78" width="39.6640625" bestFit="1" customWidth="1"/>
    <col min="79" max="79" width="26.33203125" bestFit="1" customWidth="1"/>
    <col min="80" max="80" width="22" bestFit="1" customWidth="1"/>
    <col min="81" max="81" width="29.33203125" bestFit="1" customWidth="1"/>
    <col min="82" max="82" width="32.5546875" bestFit="1" customWidth="1"/>
    <col min="83" max="83" width="25.88671875" bestFit="1" customWidth="1"/>
    <col min="84" max="84" width="31" bestFit="1" customWidth="1"/>
    <col min="85" max="85" width="26.88671875" style="3" bestFit="1" customWidth="1"/>
  </cols>
  <sheetData>
    <row r="1" spans="1:182" ht="18" x14ac:dyDescent="0.35">
      <c r="A1" s="1" t="s">
        <v>0</v>
      </c>
      <c r="B1" s="2" t="s">
        <v>1</v>
      </c>
      <c r="AI1" s="3"/>
      <c r="BP1" s="3"/>
    </row>
    <row r="2" spans="1:182" ht="18" x14ac:dyDescent="0.35">
      <c r="A2" s="1" t="s">
        <v>2</v>
      </c>
      <c r="B2" s="4" t="s">
        <v>3</v>
      </c>
      <c r="AI2" s="3"/>
      <c r="BP2" s="3"/>
    </row>
    <row r="3" spans="1:182" ht="18" x14ac:dyDescent="0.35">
      <c r="A3" s="1" t="s">
        <v>4</v>
      </c>
      <c r="B3" s="5">
        <v>45881</v>
      </c>
      <c r="AI3" s="6" t="s">
        <v>5</v>
      </c>
      <c r="AJ3" s="7" t="s">
        <v>5</v>
      </c>
      <c r="AY3" s="8" t="s">
        <v>6</v>
      </c>
      <c r="BE3" s="7" t="s">
        <v>5</v>
      </c>
      <c r="BP3" s="3"/>
      <c r="BR3" s="9" t="s">
        <v>7</v>
      </c>
    </row>
    <row r="4" spans="1:182" x14ac:dyDescent="0.3">
      <c r="B4" s="10"/>
      <c r="C4" s="10"/>
      <c r="D4" s="10"/>
      <c r="E4" s="10"/>
      <c r="F4" s="10"/>
      <c r="G4" s="10"/>
      <c r="I4" s="10"/>
      <c r="J4" s="10"/>
      <c r="K4" s="10"/>
      <c r="L4" s="10"/>
      <c r="M4" s="10"/>
      <c r="N4" s="10"/>
      <c r="O4" s="10"/>
      <c r="P4" s="10"/>
      <c r="R4" s="10"/>
      <c r="S4" s="10"/>
      <c r="AF4" s="11"/>
      <c r="AI4" s="12"/>
      <c r="AV4" s="11"/>
      <c r="BP4" s="3"/>
      <c r="BR4" s="11" t="s">
        <v>8</v>
      </c>
    </row>
    <row r="5" spans="1:182" ht="15.6" x14ac:dyDescent="0.3">
      <c r="A5" s="13" t="s">
        <v>9</v>
      </c>
      <c r="B5" s="10" t="s">
        <v>10</v>
      </c>
      <c r="C5" s="10" t="s">
        <v>11</v>
      </c>
      <c r="D5" s="10" t="s">
        <v>12</v>
      </c>
      <c r="E5" s="10" t="s">
        <v>13</v>
      </c>
      <c r="F5" s="10" t="s">
        <v>14</v>
      </c>
      <c r="G5" s="10" t="s">
        <v>15</v>
      </c>
      <c r="H5" s="10" t="s">
        <v>16</v>
      </c>
      <c r="I5" s="10" t="s">
        <v>17</v>
      </c>
      <c r="J5" s="10" t="s">
        <v>18</v>
      </c>
      <c r="K5" s="10" t="s">
        <v>19</v>
      </c>
      <c r="L5" s="10" t="s">
        <v>20</v>
      </c>
      <c r="M5" s="10" t="s">
        <v>21</v>
      </c>
      <c r="N5" s="10" t="s">
        <v>22</v>
      </c>
      <c r="O5" s="10" t="s">
        <v>23</v>
      </c>
      <c r="P5" s="10" t="s">
        <v>24</v>
      </c>
      <c r="Q5" s="10" t="s">
        <v>25</v>
      </c>
      <c r="R5" s="10" t="s">
        <v>26</v>
      </c>
      <c r="S5" s="10" t="s">
        <v>27</v>
      </c>
      <c r="T5" s="10" t="s">
        <v>28</v>
      </c>
      <c r="U5" s="10" t="s">
        <v>29</v>
      </c>
      <c r="V5" s="10" t="s">
        <v>30</v>
      </c>
      <c r="W5" s="10" t="s">
        <v>31</v>
      </c>
      <c r="X5" s="10" t="s">
        <v>32</v>
      </c>
      <c r="Y5" s="10" t="s">
        <v>33</v>
      </c>
      <c r="Z5" s="10" t="s">
        <v>34</v>
      </c>
      <c r="AA5" s="10" t="s">
        <v>35</v>
      </c>
      <c r="AB5" s="10" t="s">
        <v>36</v>
      </c>
      <c r="AC5" s="10" t="s">
        <v>37</v>
      </c>
      <c r="AD5" s="10" t="s">
        <v>38</v>
      </c>
      <c r="AE5" s="10" t="s">
        <v>39</v>
      </c>
      <c r="AF5" s="10" t="s">
        <v>40</v>
      </c>
      <c r="AG5" s="10" t="s">
        <v>41</v>
      </c>
      <c r="AH5" s="10" t="s">
        <v>42</v>
      </c>
      <c r="AI5" s="14" t="s">
        <v>43</v>
      </c>
      <c r="AJ5" s="15" t="s">
        <v>44</v>
      </c>
      <c r="AK5" s="10" t="s">
        <v>45</v>
      </c>
      <c r="AL5" s="16" t="s">
        <v>46</v>
      </c>
      <c r="AM5" s="10" t="s">
        <v>47</v>
      </c>
      <c r="AN5" s="10" t="s">
        <v>48</v>
      </c>
      <c r="AO5" s="10" t="s">
        <v>49</v>
      </c>
      <c r="AP5" s="16" t="s">
        <v>50</v>
      </c>
      <c r="AQ5" s="10" t="s">
        <v>51</v>
      </c>
      <c r="AR5" s="10" t="s">
        <v>52</v>
      </c>
      <c r="AS5" s="10" t="s">
        <v>53</v>
      </c>
      <c r="AT5" s="10" t="s">
        <v>54</v>
      </c>
      <c r="AU5" s="10" t="s">
        <v>55</v>
      </c>
      <c r="AV5" s="17" t="s">
        <v>56</v>
      </c>
      <c r="AW5" s="10" t="s">
        <v>57</v>
      </c>
      <c r="AX5" s="10" t="s">
        <v>58</v>
      </c>
      <c r="AY5" s="18" t="s">
        <v>59</v>
      </c>
      <c r="AZ5" s="16" t="s">
        <v>60</v>
      </c>
      <c r="BA5" s="10" t="s">
        <v>61</v>
      </c>
      <c r="BB5" s="10" t="s">
        <v>62</v>
      </c>
      <c r="BC5" s="10" t="s">
        <v>63</v>
      </c>
      <c r="BD5" s="17" t="s">
        <v>64</v>
      </c>
      <c r="BE5" s="15" t="s">
        <v>65</v>
      </c>
      <c r="BF5" s="10" t="s">
        <v>66</v>
      </c>
      <c r="BG5" s="10" t="s">
        <v>67</v>
      </c>
      <c r="BH5" s="10" t="s">
        <v>68</v>
      </c>
      <c r="BI5" s="10" t="s">
        <v>69</v>
      </c>
      <c r="BJ5" s="10" t="s">
        <v>70</v>
      </c>
      <c r="BK5" s="10" t="s">
        <v>71</v>
      </c>
      <c r="BL5" s="10" t="s">
        <v>72</v>
      </c>
      <c r="BM5" s="10" t="s">
        <v>73</v>
      </c>
      <c r="BN5" s="17" t="s">
        <v>74</v>
      </c>
      <c r="BO5" s="10" t="s">
        <v>75</v>
      </c>
      <c r="BP5" s="19" t="s">
        <v>76</v>
      </c>
      <c r="BQ5" s="10" t="s">
        <v>77</v>
      </c>
      <c r="BR5" s="10" t="s">
        <v>78</v>
      </c>
      <c r="BS5" s="10" t="s">
        <v>79</v>
      </c>
      <c r="BT5" s="10" t="s">
        <v>80</v>
      </c>
      <c r="BU5" s="10" t="s">
        <v>81</v>
      </c>
      <c r="BV5" s="17" t="s">
        <v>82</v>
      </c>
      <c r="BW5" s="10" t="s">
        <v>83</v>
      </c>
      <c r="BX5" s="10" t="s">
        <v>84</v>
      </c>
      <c r="BY5" s="10" t="s">
        <v>85</v>
      </c>
      <c r="BZ5" s="10" t="s">
        <v>86</v>
      </c>
      <c r="CA5" s="10" t="s">
        <v>87</v>
      </c>
      <c r="CB5" s="10" t="s">
        <v>88</v>
      </c>
      <c r="CC5" s="10" t="s">
        <v>89</v>
      </c>
      <c r="CD5" s="10" t="s">
        <v>90</v>
      </c>
      <c r="CE5" s="10" t="s">
        <v>91</v>
      </c>
      <c r="CF5" s="10" t="s">
        <v>92</v>
      </c>
      <c r="CG5" s="19" t="s">
        <v>93</v>
      </c>
    </row>
    <row r="6" spans="1:182" s="23" customFormat="1" ht="15.6" x14ac:dyDescent="0.3">
      <c r="A6" s="20" t="s">
        <v>94</v>
      </c>
      <c r="B6" s="21">
        <v>1</v>
      </c>
      <c r="C6" s="21">
        <v>2</v>
      </c>
      <c r="D6" s="21">
        <v>3</v>
      </c>
      <c r="E6" s="21">
        <v>4</v>
      </c>
      <c r="F6" s="21">
        <v>5</v>
      </c>
      <c r="G6" s="21">
        <v>6</v>
      </c>
      <c r="H6" s="21">
        <v>7</v>
      </c>
      <c r="I6" s="21">
        <v>8</v>
      </c>
      <c r="J6" s="21">
        <v>9</v>
      </c>
      <c r="K6" s="21">
        <v>10</v>
      </c>
      <c r="L6" s="21">
        <v>11</v>
      </c>
      <c r="M6" s="21">
        <v>12</v>
      </c>
      <c r="N6" s="21">
        <v>13</v>
      </c>
      <c r="O6" s="21">
        <v>14</v>
      </c>
      <c r="P6" s="21">
        <v>15</v>
      </c>
      <c r="Q6" s="21">
        <v>16</v>
      </c>
      <c r="R6" s="21">
        <v>17</v>
      </c>
      <c r="S6" s="21">
        <v>18</v>
      </c>
      <c r="T6" s="21">
        <v>19</v>
      </c>
      <c r="U6" s="21">
        <v>20</v>
      </c>
      <c r="V6" s="21">
        <v>21</v>
      </c>
      <c r="W6" s="21">
        <v>22</v>
      </c>
      <c r="X6" s="21">
        <v>23</v>
      </c>
      <c r="Y6" s="21">
        <v>24</v>
      </c>
      <c r="Z6" s="21">
        <v>25</v>
      </c>
      <c r="AA6" s="21">
        <v>26</v>
      </c>
      <c r="AB6" s="21">
        <v>27</v>
      </c>
      <c r="AC6" s="21">
        <v>28</v>
      </c>
      <c r="AD6" s="21">
        <v>29</v>
      </c>
      <c r="AE6" s="21">
        <v>30</v>
      </c>
      <c r="AF6" s="21">
        <v>31</v>
      </c>
      <c r="AG6" s="21">
        <v>32</v>
      </c>
      <c r="AH6" s="21">
        <v>33</v>
      </c>
      <c r="AI6" s="21">
        <v>34</v>
      </c>
      <c r="AJ6" s="21">
        <v>35</v>
      </c>
      <c r="AK6" s="21">
        <v>36</v>
      </c>
      <c r="AL6" s="21">
        <v>37</v>
      </c>
      <c r="AM6" s="21">
        <v>38</v>
      </c>
      <c r="AN6" s="21">
        <v>39</v>
      </c>
      <c r="AO6" s="21">
        <v>40</v>
      </c>
      <c r="AP6" s="21">
        <v>41</v>
      </c>
      <c r="AQ6" s="21">
        <v>42</v>
      </c>
      <c r="AR6" s="21">
        <v>43</v>
      </c>
      <c r="AS6" s="21">
        <v>44</v>
      </c>
      <c r="AT6" s="21">
        <v>45</v>
      </c>
      <c r="AU6" s="21">
        <v>46</v>
      </c>
      <c r="AV6" s="21">
        <v>47</v>
      </c>
      <c r="AW6" s="21">
        <v>48</v>
      </c>
      <c r="AX6" s="21">
        <v>49</v>
      </c>
      <c r="AY6" s="21">
        <v>50</v>
      </c>
      <c r="AZ6" s="21">
        <v>51</v>
      </c>
      <c r="BA6" s="21">
        <v>52</v>
      </c>
      <c r="BB6" s="21">
        <v>53</v>
      </c>
      <c r="BC6" s="21">
        <v>54</v>
      </c>
      <c r="BD6" s="21">
        <v>55</v>
      </c>
      <c r="BE6" s="21">
        <v>56</v>
      </c>
      <c r="BF6" s="21">
        <v>57</v>
      </c>
      <c r="BG6" s="21">
        <v>58</v>
      </c>
      <c r="BH6" s="21">
        <v>59</v>
      </c>
      <c r="BI6" s="21">
        <v>60</v>
      </c>
      <c r="BJ6" s="21">
        <v>61</v>
      </c>
      <c r="BK6" s="21">
        <v>62</v>
      </c>
      <c r="BL6" s="21">
        <v>63</v>
      </c>
      <c r="BM6" s="21">
        <v>64</v>
      </c>
      <c r="BN6" s="21">
        <v>65</v>
      </c>
      <c r="BO6" s="21">
        <v>66</v>
      </c>
      <c r="BP6" s="21">
        <v>67</v>
      </c>
      <c r="BQ6" s="21">
        <v>68</v>
      </c>
      <c r="BR6" s="21">
        <v>69</v>
      </c>
      <c r="BS6" s="21">
        <v>70</v>
      </c>
      <c r="BT6" s="21">
        <v>71</v>
      </c>
      <c r="BU6" s="21">
        <v>72</v>
      </c>
      <c r="BV6" s="21">
        <v>73</v>
      </c>
      <c r="BW6" s="21">
        <v>74</v>
      </c>
      <c r="BX6" s="21">
        <v>75</v>
      </c>
      <c r="BY6" s="21">
        <v>76</v>
      </c>
      <c r="BZ6" s="21">
        <v>77</v>
      </c>
      <c r="CA6" s="21">
        <v>78</v>
      </c>
      <c r="CB6" s="21">
        <v>79</v>
      </c>
      <c r="CC6" s="21">
        <v>80</v>
      </c>
      <c r="CD6" s="21">
        <v>81</v>
      </c>
      <c r="CE6" s="21">
        <v>82</v>
      </c>
      <c r="CF6" s="21">
        <v>83</v>
      </c>
      <c r="CG6" s="22">
        <v>84</v>
      </c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</row>
    <row r="7" spans="1:182" s="23" customFormat="1" ht="15.6" x14ac:dyDescent="0.3">
      <c r="A7" s="20" t="s">
        <v>95</v>
      </c>
      <c r="B7" s="21" t="s">
        <v>96</v>
      </c>
      <c r="C7" s="21" t="s">
        <v>97</v>
      </c>
      <c r="D7" s="21" t="s">
        <v>98</v>
      </c>
      <c r="E7" s="21" t="s">
        <v>99</v>
      </c>
      <c r="F7" s="21" t="s">
        <v>97</v>
      </c>
      <c r="G7" s="21" t="s">
        <v>100</v>
      </c>
      <c r="H7" s="21" t="s">
        <v>96</v>
      </c>
      <c r="I7" s="21" t="s">
        <v>98</v>
      </c>
      <c r="J7" s="21" t="s">
        <v>97</v>
      </c>
      <c r="K7" s="21" t="s">
        <v>101</v>
      </c>
      <c r="L7" s="21" t="s">
        <v>97</v>
      </c>
      <c r="M7" s="21" t="s">
        <v>97</v>
      </c>
      <c r="N7" s="21" t="s">
        <v>97</v>
      </c>
      <c r="O7" s="21" t="s">
        <v>102</v>
      </c>
      <c r="P7" s="21" t="s">
        <v>102</v>
      </c>
      <c r="Q7" s="21" t="s">
        <v>99</v>
      </c>
      <c r="R7" s="21" t="s">
        <v>96</v>
      </c>
      <c r="S7" s="21" t="s">
        <v>99</v>
      </c>
      <c r="T7" s="21" t="s">
        <v>103</v>
      </c>
      <c r="U7" s="21" t="s">
        <v>103</v>
      </c>
      <c r="V7" s="21" t="s">
        <v>103</v>
      </c>
      <c r="W7" s="21" t="s">
        <v>99</v>
      </c>
      <c r="X7" s="21" t="s">
        <v>99</v>
      </c>
      <c r="Y7" s="21" t="s">
        <v>99</v>
      </c>
      <c r="Z7" s="21" t="s">
        <v>98</v>
      </c>
      <c r="AA7" s="21" t="s">
        <v>98</v>
      </c>
      <c r="AB7" s="21" t="s">
        <v>97</v>
      </c>
      <c r="AC7" s="21" t="s">
        <v>103</v>
      </c>
      <c r="AD7" s="21" t="s">
        <v>97</v>
      </c>
      <c r="AE7" s="21" t="s">
        <v>98</v>
      </c>
      <c r="AF7" s="21" t="s">
        <v>104</v>
      </c>
      <c r="AG7" s="21" t="s">
        <v>102</v>
      </c>
      <c r="AH7" s="21" t="s">
        <v>101</v>
      </c>
      <c r="AI7" s="21" t="s">
        <v>102</v>
      </c>
      <c r="AJ7" s="21" t="s">
        <v>103</v>
      </c>
      <c r="AK7" s="21" t="s">
        <v>102</v>
      </c>
      <c r="AL7" s="21" t="s">
        <v>97</v>
      </c>
      <c r="AM7" s="21" t="s">
        <v>97</v>
      </c>
      <c r="AN7" s="21" t="s">
        <v>99</v>
      </c>
      <c r="AO7" s="21" t="s">
        <v>102</v>
      </c>
      <c r="AP7" s="21" t="s">
        <v>98</v>
      </c>
      <c r="AQ7" s="21" t="s">
        <v>97</v>
      </c>
      <c r="AR7" s="21" t="s">
        <v>98</v>
      </c>
      <c r="AS7" s="21" t="s">
        <v>103</v>
      </c>
      <c r="AT7" s="21" t="s">
        <v>98</v>
      </c>
      <c r="AU7" s="21" t="s">
        <v>97</v>
      </c>
      <c r="AV7" s="21" t="s">
        <v>99</v>
      </c>
      <c r="AW7" s="21" t="s">
        <v>102</v>
      </c>
      <c r="AX7" s="21" t="s">
        <v>102</v>
      </c>
      <c r="AY7" s="21" t="s">
        <v>102</v>
      </c>
      <c r="AZ7" s="21" t="s">
        <v>97</v>
      </c>
      <c r="BA7" s="21" t="s">
        <v>102</v>
      </c>
      <c r="BB7" s="21" t="s">
        <v>97</v>
      </c>
      <c r="BC7" s="21" t="s">
        <v>97</v>
      </c>
      <c r="BD7" s="21" t="s">
        <v>105</v>
      </c>
      <c r="BE7" s="21" t="s">
        <v>102</v>
      </c>
      <c r="BF7" s="21" t="s">
        <v>102</v>
      </c>
      <c r="BG7" s="21" t="s">
        <v>102</v>
      </c>
      <c r="BH7" s="21" t="s">
        <v>97</v>
      </c>
      <c r="BI7" s="21" t="s">
        <v>102</v>
      </c>
      <c r="BJ7" s="21" t="s">
        <v>105</v>
      </c>
      <c r="BK7" s="21" t="s">
        <v>98</v>
      </c>
      <c r="BL7" s="21" t="s">
        <v>103</v>
      </c>
      <c r="BM7" s="21" t="s">
        <v>97</v>
      </c>
      <c r="BN7" s="21" t="s">
        <v>102</v>
      </c>
      <c r="BO7" s="21" t="s">
        <v>99</v>
      </c>
      <c r="BP7" s="21" t="s">
        <v>102</v>
      </c>
      <c r="BQ7" s="24" t="s">
        <v>106</v>
      </c>
      <c r="BR7" s="21" t="s">
        <v>106</v>
      </c>
      <c r="BS7" s="21" t="s">
        <v>107</v>
      </c>
      <c r="BT7" s="21" t="s">
        <v>107</v>
      </c>
      <c r="BU7" s="21" t="s">
        <v>107</v>
      </c>
      <c r="BV7" s="24" t="s">
        <v>106</v>
      </c>
      <c r="BW7" s="21" t="s">
        <v>106</v>
      </c>
      <c r="BX7" s="21" t="s">
        <v>107</v>
      </c>
      <c r="BY7" s="21" t="s">
        <v>108</v>
      </c>
      <c r="BZ7" s="21" t="s">
        <v>109</v>
      </c>
      <c r="CA7" s="21" t="s">
        <v>110</v>
      </c>
      <c r="CB7" s="21" t="s">
        <v>111</v>
      </c>
      <c r="CC7" s="21" t="s">
        <v>98</v>
      </c>
      <c r="CD7" s="21" t="s">
        <v>110</v>
      </c>
      <c r="CE7" s="21" t="s">
        <v>110</v>
      </c>
      <c r="CF7" s="21" t="s">
        <v>107</v>
      </c>
      <c r="CG7" s="25" t="s">
        <v>106</v>
      </c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</row>
    <row r="8" spans="1:182" ht="15.6" x14ac:dyDescent="0.3">
      <c r="A8" s="20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2"/>
    </row>
    <row r="9" spans="1:182" ht="18" x14ac:dyDescent="0.35">
      <c r="A9" s="26" t="s">
        <v>112</v>
      </c>
      <c r="B9" s="27"/>
      <c r="C9" s="28"/>
      <c r="D9" s="28"/>
      <c r="E9" s="27"/>
      <c r="F9" s="28"/>
      <c r="G9" s="28"/>
      <c r="H9" s="27"/>
      <c r="I9" s="28"/>
      <c r="J9" s="28"/>
      <c r="K9" s="27"/>
      <c r="L9" s="28"/>
      <c r="M9" s="28"/>
      <c r="N9" s="27"/>
      <c r="O9" s="28"/>
      <c r="P9" s="28"/>
      <c r="Q9" s="27"/>
      <c r="R9" s="28"/>
      <c r="S9" s="28"/>
      <c r="T9" s="27"/>
      <c r="U9" s="28"/>
      <c r="V9" s="28"/>
      <c r="W9" s="27"/>
      <c r="X9" s="28"/>
      <c r="Y9" s="28"/>
      <c r="Z9" s="27"/>
      <c r="AA9" s="28"/>
      <c r="AB9" s="28"/>
      <c r="AC9" s="27"/>
      <c r="AD9" s="28"/>
      <c r="AE9" s="28"/>
      <c r="AF9" s="27"/>
      <c r="AG9" s="28"/>
      <c r="AH9" s="28"/>
      <c r="AI9" s="27"/>
      <c r="AJ9" s="28"/>
      <c r="AK9" s="28"/>
      <c r="AL9" s="27"/>
      <c r="AM9" s="28"/>
      <c r="AN9" s="28"/>
      <c r="AO9" s="27"/>
      <c r="AP9" s="28"/>
      <c r="AQ9" s="28"/>
      <c r="AR9" s="27"/>
      <c r="AS9" s="28"/>
      <c r="AT9" s="28"/>
      <c r="AU9" s="27"/>
      <c r="AV9" s="28"/>
      <c r="AW9" s="28"/>
      <c r="AX9" s="27"/>
      <c r="AY9" s="28"/>
      <c r="AZ9" s="28"/>
      <c r="BA9" s="27"/>
      <c r="BB9" s="28"/>
      <c r="BC9" s="28"/>
      <c r="BD9" s="27"/>
      <c r="BE9" s="28"/>
      <c r="BF9" s="28"/>
      <c r="BG9" s="27"/>
      <c r="BH9" s="28"/>
      <c r="BI9" s="28"/>
      <c r="BJ9" s="27"/>
      <c r="BK9" s="28"/>
      <c r="BL9" s="28"/>
      <c r="BM9" s="27"/>
      <c r="BN9" s="28"/>
      <c r="BO9" s="28"/>
      <c r="BP9" s="27"/>
      <c r="BQ9" s="28"/>
      <c r="BR9" s="28"/>
      <c r="BS9" s="27"/>
      <c r="BT9" s="28"/>
      <c r="BU9" s="28"/>
      <c r="BV9" s="27"/>
      <c r="BW9" s="28"/>
      <c r="BX9" s="28"/>
      <c r="BY9" s="27"/>
      <c r="BZ9" s="28"/>
      <c r="CA9" s="28"/>
      <c r="CB9" s="27"/>
      <c r="CC9" s="28"/>
      <c r="CD9" s="28"/>
      <c r="CE9" s="27"/>
      <c r="CF9" s="28"/>
      <c r="CG9" s="29"/>
    </row>
    <row r="10" spans="1:182" x14ac:dyDescent="0.3">
      <c r="A10" s="30" t="s">
        <v>113</v>
      </c>
      <c r="B10" s="31">
        <v>15.63</v>
      </c>
      <c r="C10" s="11">
        <v>19.36</v>
      </c>
      <c r="D10" s="11">
        <v>15.23</v>
      </c>
      <c r="E10" s="31">
        <v>27.15</v>
      </c>
      <c r="F10" s="11">
        <v>15.08</v>
      </c>
      <c r="G10" s="11">
        <v>19.63</v>
      </c>
      <c r="H10" s="31">
        <v>14.17</v>
      </c>
      <c r="I10" s="31">
        <v>15.44</v>
      </c>
      <c r="J10" s="31">
        <v>22.6</v>
      </c>
      <c r="K10" s="31">
        <v>17.32</v>
      </c>
      <c r="L10" s="11">
        <v>23.06</v>
      </c>
      <c r="M10" s="11">
        <v>22.11</v>
      </c>
      <c r="N10" s="11">
        <v>21.93</v>
      </c>
      <c r="O10" s="31">
        <v>19.86</v>
      </c>
      <c r="P10" s="11">
        <v>13.11</v>
      </c>
      <c r="Q10" s="11">
        <v>35.770000000000003</v>
      </c>
      <c r="R10" s="11">
        <v>15.26</v>
      </c>
      <c r="S10" s="31">
        <v>17.96</v>
      </c>
      <c r="T10" s="11">
        <v>14.4</v>
      </c>
      <c r="U10" s="11">
        <v>20.02</v>
      </c>
      <c r="V10" s="31">
        <v>14.02</v>
      </c>
      <c r="W10" s="31">
        <v>14.12</v>
      </c>
      <c r="X10" s="31">
        <v>27.02</v>
      </c>
      <c r="Y10" s="11">
        <v>41.92</v>
      </c>
      <c r="Z10" s="11">
        <v>17.09</v>
      </c>
      <c r="AA10" s="31">
        <v>19.22</v>
      </c>
      <c r="AB10" s="11">
        <v>14.86</v>
      </c>
      <c r="AC10" s="11">
        <v>14.77</v>
      </c>
      <c r="AD10" s="11">
        <v>16.45</v>
      </c>
      <c r="AE10" s="11">
        <v>14.12</v>
      </c>
      <c r="AF10" s="11">
        <v>13.3</v>
      </c>
      <c r="AG10" s="11">
        <v>18.399999999999999</v>
      </c>
      <c r="AH10" s="31">
        <v>16.579999999999998</v>
      </c>
      <c r="AI10" s="32">
        <v>46.95</v>
      </c>
      <c r="AJ10" s="31">
        <v>46.79</v>
      </c>
      <c r="AK10" s="31">
        <v>27.38</v>
      </c>
      <c r="AL10" s="31">
        <v>40.479999999999997</v>
      </c>
      <c r="AM10" s="31">
        <v>31.89</v>
      </c>
      <c r="AN10" s="31">
        <v>25.92</v>
      </c>
      <c r="AO10" s="31">
        <v>36.5</v>
      </c>
      <c r="AP10" s="31">
        <v>25.17</v>
      </c>
      <c r="AQ10" s="31">
        <v>27.57</v>
      </c>
      <c r="AR10" s="31">
        <v>25.61</v>
      </c>
      <c r="AS10" s="31">
        <v>19.170000000000002</v>
      </c>
      <c r="AT10" s="31">
        <v>23.21</v>
      </c>
      <c r="AU10" s="31">
        <v>34.36</v>
      </c>
      <c r="AV10" s="31">
        <v>26.45</v>
      </c>
      <c r="AW10" s="31">
        <v>36.86</v>
      </c>
      <c r="AX10" s="31">
        <v>34.049999999999997</v>
      </c>
      <c r="AY10" s="31">
        <v>64.69</v>
      </c>
      <c r="AZ10" s="31">
        <v>25.75</v>
      </c>
      <c r="BA10" s="31">
        <v>34.85</v>
      </c>
      <c r="BB10" s="31">
        <v>30.56</v>
      </c>
      <c r="BC10" s="31">
        <v>27.78</v>
      </c>
      <c r="BD10" s="31">
        <v>27.07</v>
      </c>
      <c r="BE10" s="31">
        <v>65.709999999999994</v>
      </c>
      <c r="BF10" s="31">
        <v>25.02</v>
      </c>
      <c r="BG10" s="31">
        <v>28.53</v>
      </c>
      <c r="BH10" s="31">
        <v>30.24</v>
      </c>
      <c r="BI10" s="31">
        <v>36.39</v>
      </c>
      <c r="BJ10" s="31">
        <v>28.27</v>
      </c>
      <c r="BK10" s="31">
        <v>20.23</v>
      </c>
      <c r="BL10" s="31">
        <v>16.71</v>
      </c>
      <c r="BM10" s="31">
        <v>22.89</v>
      </c>
      <c r="BN10" s="31">
        <v>36.36</v>
      </c>
      <c r="BO10" s="31">
        <v>22.86</v>
      </c>
      <c r="BP10" s="32">
        <v>28.29</v>
      </c>
      <c r="BQ10" s="31">
        <v>13.46</v>
      </c>
      <c r="BR10" s="31">
        <v>10.58</v>
      </c>
      <c r="BS10" s="31">
        <v>20.28</v>
      </c>
      <c r="BT10" s="31">
        <v>20.81</v>
      </c>
      <c r="BU10" s="31">
        <v>18.649999999999999</v>
      </c>
      <c r="BV10" s="31">
        <v>12.46</v>
      </c>
      <c r="BW10" s="31">
        <v>11</v>
      </c>
      <c r="BX10" s="31">
        <v>20.79</v>
      </c>
      <c r="BY10" s="31">
        <v>15.57</v>
      </c>
      <c r="BZ10" s="31">
        <v>14.63</v>
      </c>
      <c r="CA10" s="31">
        <v>23.47</v>
      </c>
      <c r="CB10" s="31">
        <v>13.02</v>
      </c>
      <c r="CC10" s="31">
        <v>25.28</v>
      </c>
      <c r="CD10" s="31">
        <v>13.85</v>
      </c>
      <c r="CE10" s="31">
        <v>11.79</v>
      </c>
      <c r="CF10" s="31">
        <v>19.09</v>
      </c>
      <c r="CG10" s="32">
        <v>15.44</v>
      </c>
    </row>
    <row r="11" spans="1:182" x14ac:dyDescent="0.3">
      <c r="A11" s="30" t="s">
        <v>114</v>
      </c>
      <c r="B11" s="31">
        <v>11.43</v>
      </c>
      <c r="C11" s="11">
        <v>16.079999999999998</v>
      </c>
      <c r="D11" s="11">
        <v>13.3</v>
      </c>
      <c r="E11" s="31">
        <v>21.64</v>
      </c>
      <c r="F11" s="11">
        <v>14.77</v>
      </c>
      <c r="G11" s="11">
        <v>19.149999999999999</v>
      </c>
      <c r="H11" s="31">
        <v>11.22</v>
      </c>
      <c r="I11" s="31">
        <v>13.43</v>
      </c>
      <c r="J11" s="31">
        <v>19.079999999999998</v>
      </c>
      <c r="K11" s="31">
        <v>15.93</v>
      </c>
      <c r="L11" s="11">
        <v>20.46</v>
      </c>
      <c r="M11" s="11">
        <v>20.100000000000001</v>
      </c>
      <c r="N11" s="11">
        <v>20.14</v>
      </c>
      <c r="O11" s="31">
        <v>19.34</v>
      </c>
      <c r="P11" s="11">
        <v>12.94</v>
      </c>
      <c r="Q11" s="11">
        <v>34.049999999999997</v>
      </c>
      <c r="R11" s="11">
        <v>12.64</v>
      </c>
      <c r="S11" s="31">
        <v>17.2</v>
      </c>
      <c r="T11" s="11">
        <v>11.84</v>
      </c>
      <c r="U11" s="11">
        <v>14.46</v>
      </c>
      <c r="V11" s="31">
        <v>11.93</v>
      </c>
      <c r="W11" s="31">
        <v>13.67</v>
      </c>
      <c r="X11" s="31">
        <v>24.98</v>
      </c>
      <c r="Y11" s="11">
        <v>39.14</v>
      </c>
      <c r="Z11" s="11">
        <v>14.15</v>
      </c>
      <c r="AA11" s="31">
        <v>16.62</v>
      </c>
      <c r="AB11" s="11">
        <v>12.68</v>
      </c>
      <c r="AC11" s="11">
        <v>13.89</v>
      </c>
      <c r="AD11" s="11">
        <v>15.79</v>
      </c>
      <c r="AE11" s="11">
        <v>12.91</v>
      </c>
      <c r="AF11" s="11">
        <v>13.04</v>
      </c>
      <c r="AG11" s="11">
        <v>17.39</v>
      </c>
      <c r="AH11" s="31">
        <v>14.45</v>
      </c>
      <c r="AI11" s="32">
        <v>44.46</v>
      </c>
      <c r="AJ11" s="31">
        <v>15.77</v>
      </c>
      <c r="AK11" s="31">
        <v>23.06</v>
      </c>
      <c r="AL11" s="31">
        <v>29.45</v>
      </c>
      <c r="AM11" s="31">
        <v>24.6</v>
      </c>
      <c r="AN11" s="31">
        <v>24.14</v>
      </c>
      <c r="AO11" s="31">
        <v>32.43</v>
      </c>
      <c r="AP11" s="31">
        <v>17.5</v>
      </c>
      <c r="AQ11" s="31">
        <v>21.28</v>
      </c>
      <c r="AR11" s="31">
        <v>20.77</v>
      </c>
      <c r="AS11" s="31">
        <v>16.45</v>
      </c>
      <c r="AT11" s="31">
        <v>18.59</v>
      </c>
      <c r="AU11" s="31">
        <v>30.92</v>
      </c>
      <c r="AV11" s="31">
        <v>23.8</v>
      </c>
      <c r="AW11" s="31">
        <v>33.5</v>
      </c>
      <c r="AX11" s="31">
        <v>31.43</v>
      </c>
      <c r="AY11" s="31">
        <v>59.19</v>
      </c>
      <c r="AZ11" s="31">
        <v>20.25</v>
      </c>
      <c r="BA11" s="31">
        <v>28.98</v>
      </c>
      <c r="BB11" s="31">
        <v>20.96</v>
      </c>
      <c r="BC11" s="31">
        <v>24.45</v>
      </c>
      <c r="BD11" s="31">
        <v>15.74</v>
      </c>
      <c r="BE11" s="31">
        <v>55.54</v>
      </c>
      <c r="BF11" s="31">
        <v>23.17</v>
      </c>
      <c r="BG11" s="31">
        <v>26.77</v>
      </c>
      <c r="BH11" s="31">
        <v>26.05</v>
      </c>
      <c r="BI11" s="31">
        <v>30.79</v>
      </c>
      <c r="BJ11" s="31">
        <v>17.559999999999999</v>
      </c>
      <c r="BK11" s="31">
        <v>17.940000000000001</v>
      </c>
      <c r="BL11" s="31">
        <v>11.33</v>
      </c>
      <c r="BM11" s="31">
        <v>20.07</v>
      </c>
      <c r="BN11" s="31">
        <v>33.1</v>
      </c>
      <c r="BO11" s="31">
        <v>19.71</v>
      </c>
      <c r="BP11" s="32">
        <v>26.64</v>
      </c>
      <c r="BQ11" s="31">
        <v>11.74</v>
      </c>
      <c r="BR11" s="31">
        <v>10.5</v>
      </c>
      <c r="BS11" s="31">
        <v>18.64</v>
      </c>
      <c r="BT11" s="31">
        <v>16.45</v>
      </c>
      <c r="BU11" s="31">
        <v>16.02</v>
      </c>
      <c r="BV11" s="31">
        <v>12.04</v>
      </c>
      <c r="BW11" s="31">
        <v>10.91</v>
      </c>
      <c r="BX11" s="31">
        <v>20.11</v>
      </c>
      <c r="BY11" s="31">
        <v>14.07</v>
      </c>
      <c r="BZ11" s="31">
        <v>13.61</v>
      </c>
      <c r="CA11" s="31">
        <v>12.48</v>
      </c>
      <c r="CB11" s="31">
        <v>12.83</v>
      </c>
      <c r="CC11" s="31">
        <v>17.68</v>
      </c>
      <c r="CD11" s="31">
        <v>11.59</v>
      </c>
      <c r="CE11" s="31">
        <v>11.36</v>
      </c>
      <c r="CF11" s="31">
        <v>17.97</v>
      </c>
      <c r="CG11" s="32">
        <v>14.45</v>
      </c>
    </row>
    <row r="12" spans="1:182" x14ac:dyDescent="0.3">
      <c r="A12" s="33" t="s">
        <v>115</v>
      </c>
      <c r="B12" s="34">
        <v>10.35</v>
      </c>
      <c r="C12" s="35">
        <v>10.14</v>
      </c>
      <c r="D12" s="35">
        <v>10.28</v>
      </c>
      <c r="E12" s="34">
        <v>10.27</v>
      </c>
      <c r="F12" s="35">
        <v>10.31</v>
      </c>
      <c r="G12" s="35">
        <v>10.31</v>
      </c>
      <c r="H12" s="34">
        <v>10.16</v>
      </c>
      <c r="I12" s="34">
        <v>10.130000000000001</v>
      </c>
      <c r="J12" s="34">
        <v>10.17</v>
      </c>
      <c r="K12" s="34">
        <v>10.27</v>
      </c>
      <c r="L12" s="35">
        <v>10.29</v>
      </c>
      <c r="M12" s="35">
        <v>10.27</v>
      </c>
      <c r="N12" s="35">
        <v>10.3</v>
      </c>
      <c r="O12" s="34">
        <v>10.29</v>
      </c>
      <c r="P12" s="35">
        <v>10.3</v>
      </c>
      <c r="Q12" s="35">
        <v>10.28</v>
      </c>
      <c r="R12" s="35">
        <v>10.28</v>
      </c>
      <c r="S12" s="34">
        <v>10.210000000000001</v>
      </c>
      <c r="T12" s="35">
        <v>10.29</v>
      </c>
      <c r="U12" s="35">
        <v>10.32</v>
      </c>
      <c r="V12" s="34">
        <v>10.33</v>
      </c>
      <c r="W12" s="34">
        <v>10.31</v>
      </c>
      <c r="X12" s="34">
        <v>10.1</v>
      </c>
      <c r="Y12" s="35">
        <v>10.33</v>
      </c>
      <c r="Z12" s="35">
        <v>10.29</v>
      </c>
      <c r="AA12" s="34">
        <v>10.1</v>
      </c>
      <c r="AB12" s="35">
        <v>10.23</v>
      </c>
      <c r="AC12" s="35">
        <v>10.11</v>
      </c>
      <c r="AD12" s="35">
        <v>10.29</v>
      </c>
      <c r="AE12" s="35">
        <v>10.119999999999999</v>
      </c>
      <c r="AF12" s="35">
        <v>10.29</v>
      </c>
      <c r="AG12" s="35">
        <v>10.119999999999999</v>
      </c>
      <c r="AH12" s="34">
        <v>10.27</v>
      </c>
      <c r="AI12" s="36">
        <v>10.210000000000001</v>
      </c>
      <c r="AJ12" s="34">
        <v>10.3</v>
      </c>
      <c r="AK12" s="34">
        <v>10.220000000000001</v>
      </c>
      <c r="AL12" s="34">
        <v>10.29</v>
      </c>
      <c r="AM12" s="34">
        <v>10.24</v>
      </c>
      <c r="AN12" s="34">
        <v>10.27</v>
      </c>
      <c r="AO12" s="34">
        <v>10.24</v>
      </c>
      <c r="AP12" s="34">
        <v>10.15</v>
      </c>
      <c r="AQ12" s="34">
        <v>10.33</v>
      </c>
      <c r="AR12" s="34">
        <v>10.27</v>
      </c>
      <c r="AS12" s="34">
        <v>10.130000000000001</v>
      </c>
      <c r="AT12" s="34">
        <v>10.26</v>
      </c>
      <c r="AU12" s="34">
        <v>10.28</v>
      </c>
      <c r="AV12" s="34">
        <v>10.199999999999999</v>
      </c>
      <c r="AW12" s="34">
        <v>10.28</v>
      </c>
      <c r="AX12" s="34">
        <v>10.27</v>
      </c>
      <c r="AY12" s="34">
        <v>10.28</v>
      </c>
      <c r="AZ12" s="34">
        <v>10.130000000000001</v>
      </c>
      <c r="BA12" s="34">
        <v>10.119999999999999</v>
      </c>
      <c r="BB12" s="34">
        <v>10.25</v>
      </c>
      <c r="BC12" s="34">
        <v>10.24</v>
      </c>
      <c r="BD12" s="34">
        <v>10.31</v>
      </c>
      <c r="BE12" s="34">
        <v>10.34</v>
      </c>
      <c r="BF12" s="34">
        <v>10.18</v>
      </c>
      <c r="BG12" s="34">
        <v>10.31</v>
      </c>
      <c r="BH12" s="34">
        <v>10.27</v>
      </c>
      <c r="BI12" s="34">
        <v>10.09</v>
      </c>
      <c r="BJ12" s="34">
        <v>10.28</v>
      </c>
      <c r="BK12" s="34">
        <v>10.27</v>
      </c>
      <c r="BL12" s="34">
        <v>10.27</v>
      </c>
      <c r="BM12" s="34">
        <v>10.29</v>
      </c>
      <c r="BN12" s="34">
        <v>10.210000000000001</v>
      </c>
      <c r="BO12" s="34">
        <v>10.28</v>
      </c>
      <c r="BP12" s="36">
        <v>10.17</v>
      </c>
      <c r="BQ12" s="34">
        <v>10.27</v>
      </c>
      <c r="BR12" s="34">
        <v>10.28</v>
      </c>
      <c r="BS12" s="34">
        <v>10.25</v>
      </c>
      <c r="BT12" s="34">
        <v>10.31</v>
      </c>
      <c r="BU12" s="34">
        <v>10.16</v>
      </c>
      <c r="BV12" s="34">
        <v>10.28</v>
      </c>
      <c r="BW12" s="34">
        <v>10.130000000000001</v>
      </c>
      <c r="BX12" s="34">
        <v>10.34</v>
      </c>
      <c r="BY12" s="34">
        <v>10.31</v>
      </c>
      <c r="BZ12" s="34">
        <v>10.25</v>
      </c>
      <c r="CA12" s="34">
        <v>10.16</v>
      </c>
      <c r="CB12" s="34">
        <v>10.36</v>
      </c>
      <c r="CC12" s="34">
        <v>10.34</v>
      </c>
      <c r="CD12" s="34">
        <v>10.26</v>
      </c>
      <c r="CE12" s="34">
        <v>10.27</v>
      </c>
      <c r="CF12" s="34">
        <v>10.1</v>
      </c>
      <c r="CG12" s="36">
        <v>10.29</v>
      </c>
    </row>
    <row r="13" spans="1:182" x14ac:dyDescent="0.3">
      <c r="A13" s="30" t="s">
        <v>116</v>
      </c>
      <c r="B13" s="37">
        <f t="shared" ref="B13:BM13" si="0">1-(B11-B12)/(B10-B12)</f>
        <v>0.79545454545454553</v>
      </c>
      <c r="C13" s="37">
        <f t="shared" si="0"/>
        <v>0.3557483731019524</v>
      </c>
      <c r="D13" s="37">
        <f t="shared" si="0"/>
        <v>0.38989898989898975</v>
      </c>
      <c r="E13" s="37">
        <f t="shared" si="0"/>
        <v>0.32642180094786721</v>
      </c>
      <c r="F13" s="37">
        <f t="shared" si="0"/>
        <v>6.4989517819706633E-2</v>
      </c>
      <c r="G13" s="37">
        <f t="shared" si="0"/>
        <v>5.1502145922746823E-2</v>
      </c>
      <c r="H13" s="37">
        <f t="shared" si="0"/>
        <v>0.73566084788029906</v>
      </c>
      <c r="I13" s="37">
        <f t="shared" si="0"/>
        <v>0.37853107344632775</v>
      </c>
      <c r="J13" s="37">
        <f t="shared" si="0"/>
        <v>0.28318584070796482</v>
      </c>
      <c r="K13" s="37">
        <f t="shared" si="0"/>
        <v>0.19716312056737595</v>
      </c>
      <c r="L13" s="37">
        <f t="shared" si="0"/>
        <v>0.20360219263899748</v>
      </c>
      <c r="M13" s="37">
        <f t="shared" si="0"/>
        <v>0.16976351351351338</v>
      </c>
      <c r="N13" s="37">
        <f t="shared" si="0"/>
        <v>0.15391229578675836</v>
      </c>
      <c r="O13" s="37">
        <f t="shared" si="0"/>
        <v>5.4336468129571491E-2</v>
      </c>
      <c r="P13" s="37">
        <f t="shared" si="0"/>
        <v>6.0498220640569422E-2</v>
      </c>
      <c r="Q13" s="37">
        <f t="shared" si="0"/>
        <v>6.7477442134170507E-2</v>
      </c>
      <c r="R13" s="37">
        <f t="shared" si="0"/>
        <v>0.52610441767068261</v>
      </c>
      <c r="S13" s="37">
        <f t="shared" si="0"/>
        <v>9.8064516129032442E-2</v>
      </c>
      <c r="T13" s="37">
        <f t="shared" si="0"/>
        <v>0.62287104622871037</v>
      </c>
      <c r="U13" s="37">
        <f t="shared" si="0"/>
        <v>0.57319587628865976</v>
      </c>
      <c r="V13" s="37">
        <f t="shared" si="0"/>
        <v>0.56639566395663965</v>
      </c>
      <c r="W13" s="37">
        <f t="shared" si="0"/>
        <v>0.11811023622047234</v>
      </c>
      <c r="X13" s="37">
        <f t="shared" si="0"/>
        <v>0.12056737588652489</v>
      </c>
      <c r="Y13" s="37">
        <f t="shared" si="0"/>
        <v>8.8002532446976867E-2</v>
      </c>
      <c r="Z13" s="37">
        <f t="shared" si="0"/>
        <v>0.4323529411764705</v>
      </c>
      <c r="AA13" s="37">
        <f t="shared" si="0"/>
        <v>0.28508771929824539</v>
      </c>
      <c r="AB13" s="37">
        <f t="shared" si="0"/>
        <v>0.47084233261339092</v>
      </c>
      <c r="AC13" s="37">
        <f t="shared" si="0"/>
        <v>0.18884120171673802</v>
      </c>
      <c r="AD13" s="37">
        <f t="shared" si="0"/>
        <v>0.10714285714285721</v>
      </c>
      <c r="AE13" s="37">
        <f t="shared" si="0"/>
        <v>0.30249999999999977</v>
      </c>
      <c r="AF13" s="37">
        <f t="shared" si="0"/>
        <v>8.6378737541528694E-2</v>
      </c>
      <c r="AG13" s="37">
        <f t="shared" si="0"/>
        <v>0.12198067632850218</v>
      </c>
      <c r="AH13" s="37">
        <f t="shared" si="0"/>
        <v>0.33755942947702056</v>
      </c>
      <c r="AI13" s="38">
        <f t="shared" si="0"/>
        <v>6.7773543821448068E-2</v>
      </c>
      <c r="AJ13" s="37">
        <f t="shared" si="0"/>
        <v>0.85009591668950402</v>
      </c>
      <c r="AK13" s="37">
        <f t="shared" si="0"/>
        <v>0.25174825174825166</v>
      </c>
      <c r="AL13" s="37">
        <f t="shared" si="0"/>
        <v>0.36535276581649545</v>
      </c>
      <c r="AM13" s="37">
        <f t="shared" si="0"/>
        <v>0.33672055427251724</v>
      </c>
      <c r="AN13" s="37">
        <f t="shared" si="0"/>
        <v>0.11373801916932913</v>
      </c>
      <c r="AO13" s="37">
        <f t="shared" si="0"/>
        <v>0.15498857578065506</v>
      </c>
      <c r="AP13" s="37">
        <f t="shared" si="0"/>
        <v>0.5106524633821572</v>
      </c>
      <c r="AQ13" s="37">
        <f t="shared" si="0"/>
        <v>0.36484918793503485</v>
      </c>
      <c r="AR13" s="37">
        <f t="shared" si="0"/>
        <v>0.31551499348109513</v>
      </c>
      <c r="AS13" s="37">
        <f t="shared" si="0"/>
        <v>0.30088495575221264</v>
      </c>
      <c r="AT13" s="37">
        <f t="shared" si="0"/>
        <v>0.35675675675675678</v>
      </c>
      <c r="AU13" s="37">
        <f t="shared" si="0"/>
        <v>0.14285714285714279</v>
      </c>
      <c r="AV13" s="37">
        <f t="shared" si="0"/>
        <v>0.16307692307692301</v>
      </c>
      <c r="AW13" s="37">
        <f t="shared" si="0"/>
        <v>0.12641083521444696</v>
      </c>
      <c r="AX13" s="37">
        <f t="shared" si="0"/>
        <v>0.11017661900756925</v>
      </c>
      <c r="AY13" s="37">
        <f t="shared" si="0"/>
        <v>0.10108435949274031</v>
      </c>
      <c r="AZ13" s="37">
        <f t="shared" si="0"/>
        <v>0.352112676056338</v>
      </c>
      <c r="BA13" s="37">
        <f t="shared" si="0"/>
        <v>0.23736352608168232</v>
      </c>
      <c r="BB13" s="37">
        <f t="shared" si="0"/>
        <v>0.47267355982274739</v>
      </c>
      <c r="BC13" s="37">
        <f t="shared" si="0"/>
        <v>0.18985176738882559</v>
      </c>
      <c r="BD13" s="37">
        <f t="shared" si="0"/>
        <v>0.67601431980906912</v>
      </c>
      <c r="BE13" s="37">
        <f t="shared" si="0"/>
        <v>0.18367346938775486</v>
      </c>
      <c r="BF13" s="37">
        <f t="shared" si="0"/>
        <v>0.12466307277628019</v>
      </c>
      <c r="BG13" s="37">
        <f t="shared" si="0"/>
        <v>9.6597145993413736E-2</v>
      </c>
      <c r="BH13" s="37">
        <f t="shared" si="0"/>
        <v>0.20981472208312457</v>
      </c>
      <c r="BI13" s="37">
        <f t="shared" si="0"/>
        <v>0.21292775665399244</v>
      </c>
      <c r="BJ13" s="37">
        <f t="shared" si="0"/>
        <v>0.595330739299611</v>
      </c>
      <c r="BK13" s="37">
        <f t="shared" si="0"/>
        <v>0.2299196787148593</v>
      </c>
      <c r="BL13" s="37">
        <f t="shared" si="0"/>
        <v>0.8354037267080745</v>
      </c>
      <c r="BM13" s="37">
        <f t="shared" si="0"/>
        <v>0.22380952380952379</v>
      </c>
      <c r="BN13" s="37">
        <f t="shared" ref="BN13:CG13" si="1">1-(BN11-BN12)/(BN10-BN12)</f>
        <v>0.12466539196940718</v>
      </c>
      <c r="BO13" s="37">
        <f t="shared" si="1"/>
        <v>0.25039745627980914</v>
      </c>
      <c r="BP13" s="38">
        <f t="shared" si="1"/>
        <v>9.1059602649006588E-2</v>
      </c>
      <c r="BQ13" s="37">
        <f t="shared" si="1"/>
        <v>0.53918495297805635</v>
      </c>
      <c r="BR13" s="37">
        <f t="shared" si="1"/>
        <v>0.26666666666666627</v>
      </c>
      <c r="BS13" s="37">
        <f t="shared" si="1"/>
        <v>0.16350947158524431</v>
      </c>
      <c r="BT13" s="37">
        <f t="shared" si="1"/>
        <v>0.41523809523809529</v>
      </c>
      <c r="BU13" s="37">
        <f t="shared" si="1"/>
        <v>0.30977620730270905</v>
      </c>
      <c r="BV13" s="37">
        <f t="shared" si="1"/>
        <v>0.19266055045871622</v>
      </c>
      <c r="BW13" s="37">
        <f t="shared" si="1"/>
        <v>0.10344827586206895</v>
      </c>
      <c r="BX13" s="37">
        <f t="shared" si="1"/>
        <v>6.507177033492817E-2</v>
      </c>
      <c r="BY13" s="37">
        <f t="shared" si="1"/>
        <v>0.28517110266159695</v>
      </c>
      <c r="BZ13" s="37">
        <f t="shared" si="1"/>
        <v>0.23287671232876739</v>
      </c>
      <c r="CA13" s="37">
        <f t="shared" si="1"/>
        <v>0.82569496619083393</v>
      </c>
      <c r="CB13" s="37">
        <f t="shared" si="1"/>
        <v>7.1428571428571286E-2</v>
      </c>
      <c r="CC13" s="37">
        <f t="shared" si="1"/>
        <v>0.50870147255689435</v>
      </c>
      <c r="CD13" s="37">
        <f t="shared" si="1"/>
        <v>0.62952646239554322</v>
      </c>
      <c r="CE13" s="37">
        <f t="shared" si="1"/>
        <v>0.2828947368421052</v>
      </c>
      <c r="CF13" s="37">
        <f t="shared" si="1"/>
        <v>0.12458286985539502</v>
      </c>
      <c r="CG13" s="38">
        <f t="shared" si="1"/>
        <v>0.19223300970873791</v>
      </c>
    </row>
    <row r="14" spans="1:182" x14ac:dyDescent="0.3">
      <c r="A14" s="33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40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40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40"/>
    </row>
    <row r="15" spans="1:182" ht="18" x14ac:dyDescent="0.35">
      <c r="A15" s="26" t="s">
        <v>117</v>
      </c>
      <c r="B15" s="41"/>
      <c r="C15" s="42"/>
      <c r="D15" s="42"/>
      <c r="E15" s="41"/>
      <c r="F15" s="42"/>
      <c r="G15" s="42"/>
      <c r="H15" s="43"/>
      <c r="I15" s="41"/>
      <c r="J15" s="41"/>
      <c r="K15" s="41"/>
      <c r="L15" s="42"/>
      <c r="M15" s="42"/>
      <c r="N15" s="42"/>
      <c r="O15" s="41"/>
      <c r="P15" s="42"/>
      <c r="Q15" s="42"/>
      <c r="R15" s="42"/>
      <c r="S15" s="41"/>
      <c r="T15" s="42"/>
      <c r="U15" s="42"/>
      <c r="V15" s="41"/>
      <c r="W15" s="41"/>
      <c r="X15" s="41"/>
      <c r="Y15" s="42"/>
      <c r="Z15" s="42"/>
      <c r="AA15" s="41"/>
      <c r="AB15" s="42"/>
      <c r="AC15" s="42"/>
      <c r="AD15" s="42"/>
      <c r="AE15" s="42"/>
      <c r="AF15" s="42"/>
      <c r="AG15" s="42"/>
      <c r="AH15" s="41"/>
      <c r="AI15" s="44"/>
      <c r="AJ15" s="41"/>
      <c r="AK15" s="28"/>
      <c r="AL15" s="41"/>
      <c r="AM15" s="42"/>
      <c r="AN15" s="42"/>
      <c r="AO15" s="41"/>
      <c r="AP15" s="41"/>
      <c r="AQ15" s="28"/>
      <c r="AR15" s="41"/>
      <c r="AS15" s="28"/>
      <c r="AT15" s="28"/>
      <c r="AU15" s="41"/>
      <c r="AV15" s="42"/>
      <c r="AW15" s="41"/>
      <c r="AX15" s="28"/>
      <c r="AY15" s="41"/>
      <c r="AZ15" s="41"/>
      <c r="BA15" s="28"/>
      <c r="BB15" s="28"/>
      <c r="BC15" s="41"/>
      <c r="BD15" s="28"/>
      <c r="BE15" s="41"/>
      <c r="BF15" s="41"/>
      <c r="BG15" s="41"/>
      <c r="BH15" s="28"/>
      <c r="BI15" s="28"/>
      <c r="BJ15" s="41"/>
      <c r="BK15" s="41"/>
      <c r="BL15" s="28"/>
      <c r="BM15" s="41"/>
      <c r="BN15" s="28"/>
      <c r="BO15" s="42"/>
      <c r="BP15" s="29"/>
      <c r="BQ15" s="42"/>
      <c r="BR15" s="41"/>
      <c r="BS15" s="42"/>
      <c r="BT15" s="41"/>
      <c r="BU15" s="42"/>
      <c r="BV15" s="42"/>
      <c r="BW15" s="41"/>
      <c r="BX15" s="41"/>
      <c r="BY15" s="41"/>
      <c r="BZ15" s="41"/>
      <c r="CA15" s="41"/>
      <c r="CB15" s="41"/>
      <c r="CC15" s="41"/>
      <c r="CD15" s="41"/>
      <c r="CE15" s="42"/>
      <c r="CF15" s="42"/>
      <c r="CG15" s="45"/>
    </row>
    <row r="16" spans="1:182" x14ac:dyDescent="0.3">
      <c r="A16" s="30" t="s">
        <v>118</v>
      </c>
      <c r="B16" s="11">
        <v>10.94</v>
      </c>
      <c r="C16" s="11">
        <v>15.58</v>
      </c>
      <c r="D16" s="11">
        <v>12.78</v>
      </c>
      <c r="E16" s="11">
        <v>21.11</v>
      </c>
      <c r="F16" s="11">
        <v>14.24</v>
      </c>
      <c r="G16" s="11">
        <v>18.63</v>
      </c>
      <c r="H16" s="11">
        <v>10.73</v>
      </c>
      <c r="I16" s="11">
        <v>12.92</v>
      </c>
      <c r="J16" s="11">
        <v>18.59</v>
      </c>
      <c r="K16" s="11">
        <v>15.42</v>
      </c>
      <c r="L16" s="11">
        <v>19.95</v>
      </c>
      <c r="M16" s="11">
        <v>19.600000000000001</v>
      </c>
      <c r="N16" s="11">
        <v>19.64</v>
      </c>
      <c r="O16" s="11">
        <v>18.84</v>
      </c>
      <c r="P16" s="11">
        <v>12.42</v>
      </c>
      <c r="Q16" s="11">
        <v>33.549999999999997</v>
      </c>
      <c r="R16" s="11">
        <v>12.12</v>
      </c>
      <c r="S16" s="11">
        <v>16.690000000000001</v>
      </c>
      <c r="T16" s="11">
        <v>11.31</v>
      </c>
      <c r="U16" s="11">
        <v>13.93</v>
      </c>
      <c r="V16" s="11">
        <v>11.43</v>
      </c>
      <c r="W16" s="11">
        <v>13.16</v>
      </c>
      <c r="X16" s="11">
        <v>24.42</v>
      </c>
      <c r="Y16" s="11">
        <v>38.619999999999997</v>
      </c>
      <c r="Z16" s="11">
        <v>13.65</v>
      </c>
      <c r="AA16" s="11">
        <v>16.11</v>
      </c>
      <c r="AB16" s="11">
        <v>12.18</v>
      </c>
      <c r="AC16" s="11">
        <v>13.38</v>
      </c>
      <c r="AD16" s="11">
        <v>15.25</v>
      </c>
      <c r="AE16" s="11">
        <v>12.41</v>
      </c>
      <c r="AF16" s="11">
        <v>12.53</v>
      </c>
      <c r="AG16" s="11">
        <v>16.86</v>
      </c>
      <c r="AH16" s="11">
        <v>13.94</v>
      </c>
      <c r="AI16" s="12">
        <v>43.96</v>
      </c>
      <c r="AJ16" s="11">
        <v>15.22</v>
      </c>
      <c r="AK16" s="11">
        <v>22.52</v>
      </c>
      <c r="AL16" s="11">
        <v>28.92</v>
      </c>
      <c r="AM16" s="11">
        <v>24.09</v>
      </c>
      <c r="AN16" s="11">
        <v>23.63</v>
      </c>
      <c r="AO16" s="11">
        <v>31.93</v>
      </c>
      <c r="AP16" s="11">
        <v>16.98</v>
      </c>
      <c r="AQ16" s="11">
        <v>20.76</v>
      </c>
      <c r="AR16" s="11">
        <v>20.260000000000002</v>
      </c>
      <c r="AS16" s="11">
        <v>15.95</v>
      </c>
      <c r="AT16" s="11">
        <v>18.05</v>
      </c>
      <c r="AU16" s="11">
        <v>30.43</v>
      </c>
      <c r="AV16" s="11">
        <v>23.29</v>
      </c>
      <c r="AW16" s="11">
        <v>32.99</v>
      </c>
      <c r="AX16" s="11">
        <v>30.91</v>
      </c>
      <c r="AY16" s="11">
        <v>58.68</v>
      </c>
      <c r="AZ16" s="11">
        <v>19.739999999999998</v>
      </c>
      <c r="BA16" s="11">
        <v>28.49</v>
      </c>
      <c r="BB16" s="11">
        <v>20.43</v>
      </c>
      <c r="BC16" s="11">
        <v>23.93</v>
      </c>
      <c r="BD16" s="11">
        <v>15.22</v>
      </c>
      <c r="BE16" s="11">
        <v>55.06</v>
      </c>
      <c r="BF16" s="11">
        <v>22.68</v>
      </c>
      <c r="BG16" s="11">
        <v>26.27</v>
      </c>
      <c r="BH16" s="11">
        <v>25.52</v>
      </c>
      <c r="BI16" s="11">
        <v>30.24</v>
      </c>
      <c r="BJ16" s="11">
        <v>17.04</v>
      </c>
      <c r="BK16" s="11">
        <v>17.43</v>
      </c>
      <c r="BL16" s="11">
        <v>10.82</v>
      </c>
      <c r="BM16" s="11">
        <v>19.54</v>
      </c>
      <c r="BN16" s="11">
        <v>32.590000000000003</v>
      </c>
      <c r="BO16" s="11">
        <v>19.21</v>
      </c>
      <c r="BP16" s="12">
        <v>26.14</v>
      </c>
      <c r="BQ16" s="11">
        <v>11.2</v>
      </c>
      <c r="BR16" s="11">
        <v>10.38</v>
      </c>
      <c r="BS16" s="11">
        <v>18.09</v>
      </c>
      <c r="BT16" s="11">
        <v>15.94</v>
      </c>
      <c r="BU16" s="11">
        <v>15.52</v>
      </c>
      <c r="BV16" s="11">
        <v>11.43</v>
      </c>
      <c r="BW16" s="11">
        <v>10.54</v>
      </c>
      <c r="BX16" s="11">
        <v>19.579999999999998</v>
      </c>
      <c r="BY16" s="11">
        <v>13.56</v>
      </c>
      <c r="BZ16" s="11">
        <v>13.11</v>
      </c>
      <c r="CA16" s="11">
        <v>11.94</v>
      </c>
      <c r="CB16" s="11">
        <v>12.3</v>
      </c>
      <c r="CC16" s="11">
        <v>17.13</v>
      </c>
      <c r="CD16" s="11">
        <v>11.08</v>
      </c>
      <c r="CE16" s="11">
        <v>10.86</v>
      </c>
      <c r="CF16" s="11">
        <v>17.47</v>
      </c>
      <c r="CG16" s="12">
        <v>13.91</v>
      </c>
    </row>
    <row r="17" spans="1:182" x14ac:dyDescent="0.3">
      <c r="A17" s="30" t="s">
        <v>119</v>
      </c>
      <c r="B17" s="11">
        <v>14.78</v>
      </c>
      <c r="C17" s="11">
        <v>22.02</v>
      </c>
      <c r="D17" s="11">
        <v>16.28</v>
      </c>
      <c r="E17" s="11">
        <v>27.36</v>
      </c>
      <c r="F17" s="11">
        <v>18.3</v>
      </c>
      <c r="G17" s="11">
        <v>24.13</v>
      </c>
      <c r="H17" s="11">
        <v>13.42</v>
      </c>
      <c r="I17" s="11">
        <v>17.48</v>
      </c>
      <c r="J17" s="11">
        <v>27.3</v>
      </c>
      <c r="K17" s="11">
        <v>21.58</v>
      </c>
      <c r="L17" s="11">
        <v>27.7</v>
      </c>
      <c r="M17" s="11">
        <v>28.46</v>
      </c>
      <c r="N17" s="11">
        <v>27.71</v>
      </c>
      <c r="O17" s="11">
        <v>24.85</v>
      </c>
      <c r="P17" s="11">
        <v>13.92</v>
      </c>
      <c r="Q17" s="11">
        <v>40.89</v>
      </c>
      <c r="R17" s="11">
        <v>15.31</v>
      </c>
      <c r="S17" s="11">
        <v>22.4</v>
      </c>
      <c r="T17" s="11">
        <v>20.76</v>
      </c>
      <c r="U17" s="11">
        <v>29.49</v>
      </c>
      <c r="V17" s="11">
        <v>14.35</v>
      </c>
      <c r="W17" s="11">
        <v>15</v>
      </c>
      <c r="X17" s="11">
        <v>30.42</v>
      </c>
      <c r="Y17" s="11">
        <v>50.12</v>
      </c>
      <c r="Z17" s="11">
        <v>19.73</v>
      </c>
      <c r="AA17" s="11">
        <v>23.9</v>
      </c>
      <c r="AB17" s="11">
        <v>14.8</v>
      </c>
      <c r="AC17" s="11">
        <v>20.100000000000001</v>
      </c>
      <c r="AD17" s="11">
        <v>19.920000000000002</v>
      </c>
      <c r="AE17" s="11">
        <v>16.64</v>
      </c>
      <c r="AF17" s="11">
        <v>14.84</v>
      </c>
      <c r="AG17" s="11">
        <v>22.69</v>
      </c>
      <c r="AH17" s="11">
        <v>18.73</v>
      </c>
      <c r="AI17" s="12">
        <v>59.59</v>
      </c>
      <c r="AJ17" s="11">
        <v>43.42</v>
      </c>
      <c r="AK17" s="11">
        <v>33.840000000000003</v>
      </c>
      <c r="AL17" s="11">
        <v>42.65</v>
      </c>
      <c r="AM17" s="11">
        <v>38.04</v>
      </c>
      <c r="AN17" s="11">
        <v>35.71</v>
      </c>
      <c r="AO17" s="11">
        <v>46.69</v>
      </c>
      <c r="AP17" s="11">
        <v>28.77</v>
      </c>
      <c r="AQ17" s="11">
        <v>32.97</v>
      </c>
      <c r="AR17" s="11">
        <v>33.340000000000003</v>
      </c>
      <c r="AS17" s="11">
        <v>28.19</v>
      </c>
      <c r="AT17" s="11">
        <v>34.840000000000003</v>
      </c>
      <c r="AU17" s="11">
        <v>44.73</v>
      </c>
      <c r="AV17" s="11">
        <v>32.950000000000003</v>
      </c>
      <c r="AW17" s="11">
        <v>44.06</v>
      </c>
      <c r="AX17" s="11">
        <v>37.979999999999997</v>
      </c>
      <c r="AY17" s="11">
        <v>80.03</v>
      </c>
      <c r="AZ17" s="11">
        <v>29.84</v>
      </c>
      <c r="BA17" s="11">
        <v>42.1</v>
      </c>
      <c r="BB17" s="11">
        <v>35.65</v>
      </c>
      <c r="BC17" s="11">
        <v>35.5</v>
      </c>
      <c r="BD17" s="11">
        <v>27.55</v>
      </c>
      <c r="BE17" s="11">
        <v>90.87</v>
      </c>
      <c r="BF17" s="11">
        <v>32.71</v>
      </c>
      <c r="BG17" s="11">
        <v>33.630000000000003</v>
      </c>
      <c r="BH17" s="11">
        <v>36.06</v>
      </c>
      <c r="BI17" s="11">
        <v>42.1</v>
      </c>
      <c r="BJ17" s="11">
        <v>26.5</v>
      </c>
      <c r="BK17" s="11">
        <v>27.32</v>
      </c>
      <c r="BL17" s="11">
        <v>14.91</v>
      </c>
      <c r="BM17" s="11">
        <v>29.48</v>
      </c>
      <c r="BN17" s="11">
        <v>43.48</v>
      </c>
      <c r="BO17" s="11">
        <v>28.23</v>
      </c>
      <c r="BP17" s="12">
        <v>34.619999999999997</v>
      </c>
      <c r="BQ17" s="11">
        <v>27.63</v>
      </c>
      <c r="BR17" s="11">
        <v>13.43</v>
      </c>
      <c r="BS17" s="11">
        <v>36.090000000000003</v>
      </c>
      <c r="BT17" s="11">
        <v>27.35</v>
      </c>
      <c r="BU17" s="11">
        <v>31.28</v>
      </c>
      <c r="BV17" s="11">
        <v>25.51</v>
      </c>
      <c r="BW17" s="11">
        <v>16.11</v>
      </c>
      <c r="BX17" s="11">
        <v>38.43</v>
      </c>
      <c r="BY17" s="11">
        <v>28.88</v>
      </c>
      <c r="BZ17" s="11">
        <v>36.630000000000003</v>
      </c>
      <c r="CA17" s="11">
        <v>27.02</v>
      </c>
      <c r="CB17" s="11">
        <v>18.25</v>
      </c>
      <c r="CC17" s="11">
        <v>35.270000000000003</v>
      </c>
      <c r="CD17" s="11">
        <v>23.85</v>
      </c>
      <c r="CE17" s="11">
        <v>18.78</v>
      </c>
      <c r="CF17" s="11">
        <v>30.17</v>
      </c>
      <c r="CG17" s="12">
        <v>32.25</v>
      </c>
    </row>
    <row r="18" spans="1:182" x14ac:dyDescent="0.3">
      <c r="A18" s="30" t="s">
        <v>120</v>
      </c>
      <c r="B18" s="31">
        <f t="shared" ref="B18:BM18" si="2">B16-B12</f>
        <v>0.58999999999999986</v>
      </c>
      <c r="C18" s="31">
        <f t="shared" si="2"/>
        <v>5.4399999999999995</v>
      </c>
      <c r="D18" s="31">
        <f t="shared" si="2"/>
        <v>2.5</v>
      </c>
      <c r="E18" s="31">
        <f t="shared" si="2"/>
        <v>10.84</v>
      </c>
      <c r="F18" s="31">
        <f t="shared" si="2"/>
        <v>3.9299999999999997</v>
      </c>
      <c r="G18" s="31">
        <f t="shared" si="2"/>
        <v>8.3199999999999985</v>
      </c>
      <c r="H18" s="31">
        <f t="shared" si="2"/>
        <v>0.57000000000000028</v>
      </c>
      <c r="I18" s="31">
        <f t="shared" si="2"/>
        <v>2.7899999999999991</v>
      </c>
      <c r="J18" s="31">
        <f t="shared" si="2"/>
        <v>8.42</v>
      </c>
      <c r="K18" s="31">
        <f t="shared" si="2"/>
        <v>5.15</v>
      </c>
      <c r="L18" s="31">
        <f t="shared" si="2"/>
        <v>9.66</v>
      </c>
      <c r="M18" s="31">
        <f t="shared" si="2"/>
        <v>9.3300000000000018</v>
      </c>
      <c r="N18" s="31">
        <f t="shared" si="2"/>
        <v>9.34</v>
      </c>
      <c r="O18" s="31">
        <f t="shared" si="2"/>
        <v>8.5500000000000007</v>
      </c>
      <c r="P18" s="31">
        <f t="shared" si="2"/>
        <v>2.1199999999999992</v>
      </c>
      <c r="Q18" s="31">
        <f t="shared" si="2"/>
        <v>23.269999999999996</v>
      </c>
      <c r="R18" s="31">
        <f t="shared" si="2"/>
        <v>1.8399999999999999</v>
      </c>
      <c r="S18" s="31">
        <f t="shared" si="2"/>
        <v>6.48</v>
      </c>
      <c r="T18" s="31">
        <f t="shared" si="2"/>
        <v>1.0200000000000014</v>
      </c>
      <c r="U18" s="31">
        <f t="shared" si="2"/>
        <v>3.6099999999999994</v>
      </c>
      <c r="V18" s="31">
        <f t="shared" si="2"/>
        <v>1.0999999999999996</v>
      </c>
      <c r="W18" s="31">
        <f t="shared" si="2"/>
        <v>2.8499999999999996</v>
      </c>
      <c r="X18" s="31">
        <f t="shared" si="2"/>
        <v>14.320000000000002</v>
      </c>
      <c r="Y18" s="31">
        <f t="shared" si="2"/>
        <v>28.29</v>
      </c>
      <c r="Z18" s="31">
        <f t="shared" si="2"/>
        <v>3.3600000000000012</v>
      </c>
      <c r="AA18" s="31">
        <f t="shared" si="2"/>
        <v>6.01</v>
      </c>
      <c r="AB18" s="31">
        <f t="shared" si="2"/>
        <v>1.9499999999999993</v>
      </c>
      <c r="AC18" s="31">
        <f t="shared" si="2"/>
        <v>3.2700000000000014</v>
      </c>
      <c r="AD18" s="31">
        <f t="shared" si="2"/>
        <v>4.9600000000000009</v>
      </c>
      <c r="AE18" s="31">
        <f t="shared" si="2"/>
        <v>2.2900000000000009</v>
      </c>
      <c r="AF18" s="31">
        <f t="shared" si="2"/>
        <v>2.2400000000000002</v>
      </c>
      <c r="AG18" s="31">
        <f t="shared" si="2"/>
        <v>6.74</v>
      </c>
      <c r="AH18" s="31">
        <f t="shared" si="2"/>
        <v>3.67</v>
      </c>
      <c r="AI18" s="32">
        <f t="shared" si="2"/>
        <v>33.75</v>
      </c>
      <c r="AJ18" s="31">
        <f t="shared" si="2"/>
        <v>4.92</v>
      </c>
      <c r="AK18" s="31">
        <f t="shared" si="2"/>
        <v>12.299999999999999</v>
      </c>
      <c r="AL18" s="31">
        <f t="shared" si="2"/>
        <v>18.630000000000003</v>
      </c>
      <c r="AM18" s="31">
        <f t="shared" si="2"/>
        <v>13.85</v>
      </c>
      <c r="AN18" s="31">
        <f t="shared" si="2"/>
        <v>13.36</v>
      </c>
      <c r="AO18" s="31">
        <f t="shared" si="2"/>
        <v>21.689999999999998</v>
      </c>
      <c r="AP18" s="31">
        <f t="shared" si="2"/>
        <v>6.83</v>
      </c>
      <c r="AQ18" s="31">
        <f t="shared" si="2"/>
        <v>10.430000000000001</v>
      </c>
      <c r="AR18" s="31">
        <f t="shared" si="2"/>
        <v>9.990000000000002</v>
      </c>
      <c r="AS18" s="31">
        <f t="shared" si="2"/>
        <v>5.8199999999999985</v>
      </c>
      <c r="AT18" s="31">
        <f t="shared" si="2"/>
        <v>7.7900000000000009</v>
      </c>
      <c r="AU18" s="31">
        <f t="shared" si="2"/>
        <v>20.149999999999999</v>
      </c>
      <c r="AV18" s="31">
        <f t="shared" si="2"/>
        <v>13.09</v>
      </c>
      <c r="AW18" s="31">
        <f t="shared" si="2"/>
        <v>22.71</v>
      </c>
      <c r="AX18" s="31">
        <f t="shared" si="2"/>
        <v>20.64</v>
      </c>
      <c r="AY18" s="31">
        <f t="shared" si="2"/>
        <v>48.4</v>
      </c>
      <c r="AZ18" s="31">
        <f t="shared" si="2"/>
        <v>9.6099999999999977</v>
      </c>
      <c r="BA18" s="31">
        <f t="shared" si="2"/>
        <v>18.369999999999997</v>
      </c>
      <c r="BB18" s="31">
        <f t="shared" si="2"/>
        <v>10.18</v>
      </c>
      <c r="BC18" s="31">
        <f t="shared" si="2"/>
        <v>13.69</v>
      </c>
      <c r="BD18" s="31">
        <f t="shared" si="2"/>
        <v>4.91</v>
      </c>
      <c r="BE18" s="31">
        <f t="shared" si="2"/>
        <v>44.72</v>
      </c>
      <c r="BF18" s="31">
        <f t="shared" si="2"/>
        <v>12.5</v>
      </c>
      <c r="BG18" s="31">
        <f t="shared" si="2"/>
        <v>15.959999999999999</v>
      </c>
      <c r="BH18" s="31">
        <f t="shared" si="2"/>
        <v>15.25</v>
      </c>
      <c r="BI18" s="31">
        <f t="shared" si="2"/>
        <v>20.149999999999999</v>
      </c>
      <c r="BJ18" s="31">
        <f t="shared" si="2"/>
        <v>6.76</v>
      </c>
      <c r="BK18" s="31">
        <f t="shared" si="2"/>
        <v>7.16</v>
      </c>
      <c r="BL18" s="31">
        <f t="shared" si="2"/>
        <v>0.55000000000000071</v>
      </c>
      <c r="BM18" s="31">
        <f t="shared" si="2"/>
        <v>9.25</v>
      </c>
      <c r="BN18" s="31">
        <f t="shared" ref="BN18:CG18" si="3">BN16-BN12</f>
        <v>22.380000000000003</v>
      </c>
      <c r="BO18" s="31">
        <f t="shared" si="3"/>
        <v>8.9300000000000015</v>
      </c>
      <c r="BP18" s="32">
        <f t="shared" si="3"/>
        <v>15.97</v>
      </c>
      <c r="BQ18" s="31">
        <f t="shared" si="3"/>
        <v>0.92999999999999972</v>
      </c>
      <c r="BR18" s="31">
        <f t="shared" si="3"/>
        <v>0.10000000000000142</v>
      </c>
      <c r="BS18" s="31">
        <f t="shared" si="3"/>
        <v>7.84</v>
      </c>
      <c r="BT18" s="31">
        <f t="shared" si="3"/>
        <v>5.629999999999999</v>
      </c>
      <c r="BU18" s="31">
        <f t="shared" si="3"/>
        <v>5.3599999999999994</v>
      </c>
      <c r="BV18" s="31">
        <f t="shared" si="3"/>
        <v>1.1500000000000004</v>
      </c>
      <c r="BW18" s="31">
        <f t="shared" si="3"/>
        <v>0.40999999999999837</v>
      </c>
      <c r="BX18" s="31">
        <f t="shared" si="3"/>
        <v>9.2399999999999984</v>
      </c>
      <c r="BY18" s="31">
        <f t="shared" si="3"/>
        <v>3.25</v>
      </c>
      <c r="BZ18" s="31">
        <f t="shared" si="3"/>
        <v>2.8599999999999994</v>
      </c>
      <c r="CA18" s="31">
        <f t="shared" si="3"/>
        <v>1.7799999999999994</v>
      </c>
      <c r="CB18" s="31">
        <f t="shared" si="3"/>
        <v>1.9400000000000013</v>
      </c>
      <c r="CC18" s="31">
        <f t="shared" si="3"/>
        <v>6.7899999999999991</v>
      </c>
      <c r="CD18" s="31">
        <f t="shared" si="3"/>
        <v>0.82000000000000028</v>
      </c>
      <c r="CE18" s="31">
        <f t="shared" si="3"/>
        <v>0.58999999999999986</v>
      </c>
      <c r="CF18" s="31">
        <f t="shared" si="3"/>
        <v>7.3699999999999992</v>
      </c>
      <c r="CG18" s="32">
        <f t="shared" si="3"/>
        <v>3.620000000000001</v>
      </c>
    </row>
    <row r="19" spans="1:182" s="23" customFormat="1" x14ac:dyDescent="0.3">
      <c r="A19" s="33" t="s">
        <v>121</v>
      </c>
      <c r="B19" s="35">
        <f>B17-B16</f>
        <v>3.84</v>
      </c>
      <c r="C19" s="35">
        <v>6.4399999999999995</v>
      </c>
      <c r="D19" s="35">
        <v>3.5000000000000018</v>
      </c>
      <c r="E19" s="35">
        <f>E17-E16</f>
        <v>6.25</v>
      </c>
      <c r="F19" s="35">
        <v>4.0600000000000005</v>
      </c>
      <c r="G19" s="35">
        <v>5.5</v>
      </c>
      <c r="H19" s="35">
        <f>H17-H16</f>
        <v>2.6899999999999995</v>
      </c>
      <c r="I19" s="35">
        <f>I17-I16</f>
        <v>4.5600000000000005</v>
      </c>
      <c r="J19" s="35">
        <f>J17-J16</f>
        <v>8.7100000000000009</v>
      </c>
      <c r="K19" s="35">
        <f>K17-K16</f>
        <v>6.1599999999999984</v>
      </c>
      <c r="L19" s="35">
        <v>7.75</v>
      </c>
      <c r="M19" s="35">
        <v>8.86</v>
      </c>
      <c r="N19" s="35">
        <v>8.07</v>
      </c>
      <c r="O19" s="35">
        <f>O17-O16</f>
        <v>6.0100000000000016</v>
      </c>
      <c r="P19" s="35">
        <v>1.5</v>
      </c>
      <c r="Q19" s="35">
        <v>7.3400000000000034</v>
      </c>
      <c r="R19" s="35">
        <v>3.1900000000000013</v>
      </c>
      <c r="S19" s="35">
        <f>S17-S16</f>
        <v>5.7099999999999973</v>
      </c>
      <c r="T19" s="35">
        <v>9.4500000000000011</v>
      </c>
      <c r="U19" s="35">
        <v>15.559999999999999</v>
      </c>
      <c r="V19" s="35">
        <f>V17-V16</f>
        <v>2.92</v>
      </c>
      <c r="W19" s="35">
        <f>W17-W16</f>
        <v>1.8399999999999999</v>
      </c>
      <c r="X19" s="35">
        <f>X17-X16</f>
        <v>6</v>
      </c>
      <c r="Y19" s="35">
        <v>11.5</v>
      </c>
      <c r="Z19" s="35">
        <v>6.08</v>
      </c>
      <c r="AA19" s="35">
        <f>AA17-AA16</f>
        <v>7.7899999999999991</v>
      </c>
      <c r="AB19" s="35">
        <v>2.620000000000001</v>
      </c>
      <c r="AC19" s="35">
        <v>6.7200000000000006</v>
      </c>
      <c r="AD19" s="35">
        <v>4.6700000000000017</v>
      </c>
      <c r="AE19" s="35">
        <v>4.2300000000000004</v>
      </c>
      <c r="AF19" s="35">
        <v>2.3100000000000005</v>
      </c>
      <c r="AG19" s="35">
        <v>5.8300000000000018</v>
      </c>
      <c r="AH19" s="35">
        <f t="shared" ref="AH19:CG19" si="4">AH17-AH16</f>
        <v>4.7900000000000009</v>
      </c>
      <c r="AI19" s="46">
        <f t="shared" si="4"/>
        <v>15.630000000000003</v>
      </c>
      <c r="AJ19" s="35">
        <f t="shared" si="4"/>
        <v>28.200000000000003</v>
      </c>
      <c r="AK19" s="35">
        <f t="shared" si="4"/>
        <v>11.320000000000004</v>
      </c>
      <c r="AL19" s="35">
        <f t="shared" si="4"/>
        <v>13.729999999999997</v>
      </c>
      <c r="AM19" s="35">
        <f t="shared" si="4"/>
        <v>13.95</v>
      </c>
      <c r="AN19" s="35">
        <f t="shared" si="4"/>
        <v>12.080000000000002</v>
      </c>
      <c r="AO19" s="35">
        <f t="shared" si="4"/>
        <v>14.759999999999998</v>
      </c>
      <c r="AP19" s="35">
        <f t="shared" si="4"/>
        <v>11.79</v>
      </c>
      <c r="AQ19" s="35">
        <f t="shared" si="4"/>
        <v>12.209999999999997</v>
      </c>
      <c r="AR19" s="35">
        <f t="shared" si="4"/>
        <v>13.080000000000002</v>
      </c>
      <c r="AS19" s="35">
        <f t="shared" si="4"/>
        <v>12.240000000000002</v>
      </c>
      <c r="AT19" s="35">
        <f t="shared" si="4"/>
        <v>16.790000000000003</v>
      </c>
      <c r="AU19" s="35">
        <f t="shared" si="4"/>
        <v>14.299999999999997</v>
      </c>
      <c r="AV19" s="35">
        <f t="shared" si="4"/>
        <v>9.6600000000000037</v>
      </c>
      <c r="AW19" s="35">
        <f t="shared" si="4"/>
        <v>11.07</v>
      </c>
      <c r="AX19" s="35">
        <f t="shared" si="4"/>
        <v>7.0699999999999967</v>
      </c>
      <c r="AY19" s="35">
        <f t="shared" si="4"/>
        <v>21.35</v>
      </c>
      <c r="AZ19" s="35">
        <f t="shared" si="4"/>
        <v>10.100000000000001</v>
      </c>
      <c r="BA19" s="35">
        <f t="shared" si="4"/>
        <v>13.610000000000003</v>
      </c>
      <c r="BB19" s="35">
        <f t="shared" si="4"/>
        <v>15.219999999999999</v>
      </c>
      <c r="BC19" s="35">
        <f t="shared" si="4"/>
        <v>11.57</v>
      </c>
      <c r="BD19" s="35">
        <f t="shared" si="4"/>
        <v>12.33</v>
      </c>
      <c r="BE19" s="35">
        <f t="shared" si="4"/>
        <v>35.81</v>
      </c>
      <c r="BF19" s="35">
        <f t="shared" si="4"/>
        <v>10.030000000000001</v>
      </c>
      <c r="BG19" s="35">
        <f t="shared" si="4"/>
        <v>7.360000000000003</v>
      </c>
      <c r="BH19" s="35">
        <f t="shared" si="4"/>
        <v>10.540000000000003</v>
      </c>
      <c r="BI19" s="35">
        <f t="shared" si="4"/>
        <v>11.860000000000003</v>
      </c>
      <c r="BJ19" s="35">
        <f t="shared" si="4"/>
        <v>9.4600000000000009</v>
      </c>
      <c r="BK19" s="35">
        <f t="shared" si="4"/>
        <v>9.89</v>
      </c>
      <c r="BL19" s="35">
        <f t="shared" si="4"/>
        <v>4.09</v>
      </c>
      <c r="BM19" s="35">
        <f t="shared" si="4"/>
        <v>9.9400000000000013</v>
      </c>
      <c r="BN19" s="35">
        <f t="shared" si="4"/>
        <v>10.889999999999993</v>
      </c>
      <c r="BO19" s="35">
        <f t="shared" si="4"/>
        <v>9.02</v>
      </c>
      <c r="BP19" s="46">
        <f t="shared" si="4"/>
        <v>8.4799999999999969</v>
      </c>
      <c r="BQ19" s="35">
        <f t="shared" si="4"/>
        <v>16.43</v>
      </c>
      <c r="BR19" s="35">
        <f t="shared" si="4"/>
        <v>3.0499999999999989</v>
      </c>
      <c r="BS19" s="35">
        <f t="shared" si="4"/>
        <v>18.000000000000004</v>
      </c>
      <c r="BT19" s="35">
        <f t="shared" si="4"/>
        <v>11.410000000000002</v>
      </c>
      <c r="BU19" s="35">
        <f t="shared" si="4"/>
        <v>15.760000000000002</v>
      </c>
      <c r="BV19" s="35">
        <f t="shared" si="4"/>
        <v>14.080000000000002</v>
      </c>
      <c r="BW19" s="35">
        <f t="shared" si="4"/>
        <v>5.57</v>
      </c>
      <c r="BX19" s="35">
        <f t="shared" si="4"/>
        <v>18.850000000000001</v>
      </c>
      <c r="BY19" s="35">
        <f t="shared" si="4"/>
        <v>15.319999999999999</v>
      </c>
      <c r="BZ19" s="35">
        <f t="shared" si="4"/>
        <v>23.520000000000003</v>
      </c>
      <c r="CA19" s="35">
        <f t="shared" si="4"/>
        <v>15.08</v>
      </c>
      <c r="CB19" s="35">
        <f t="shared" si="4"/>
        <v>5.9499999999999993</v>
      </c>
      <c r="CC19" s="35">
        <f t="shared" si="4"/>
        <v>18.140000000000004</v>
      </c>
      <c r="CD19" s="35">
        <f t="shared" si="4"/>
        <v>12.770000000000001</v>
      </c>
      <c r="CE19" s="35">
        <f t="shared" si="4"/>
        <v>7.9200000000000017</v>
      </c>
      <c r="CF19" s="35">
        <f t="shared" si="4"/>
        <v>12.700000000000003</v>
      </c>
      <c r="CG19" s="46">
        <f t="shared" si="4"/>
        <v>18.34</v>
      </c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</row>
    <row r="20" spans="1:182" x14ac:dyDescent="0.3">
      <c r="A20" s="30" t="s">
        <v>122</v>
      </c>
      <c r="B20" s="37">
        <f t="shared" ref="B20:BM20" si="5">B19/B18</f>
        <v>6.5084745762711878</v>
      </c>
      <c r="C20" s="37">
        <f t="shared" si="5"/>
        <v>1.1838235294117647</v>
      </c>
      <c r="D20" s="37">
        <f t="shared" si="5"/>
        <v>1.4000000000000008</v>
      </c>
      <c r="E20" s="37">
        <f t="shared" si="5"/>
        <v>0.57656826568265684</v>
      </c>
      <c r="F20" s="37">
        <f t="shared" si="5"/>
        <v>1.0330788804071249</v>
      </c>
      <c r="G20" s="37">
        <f t="shared" si="5"/>
        <v>0.6610576923076924</v>
      </c>
      <c r="H20" s="37">
        <f t="shared" si="5"/>
        <v>4.7192982456140316</v>
      </c>
      <c r="I20" s="37">
        <f t="shared" si="5"/>
        <v>1.6344086021505384</v>
      </c>
      <c r="J20" s="37">
        <f t="shared" si="5"/>
        <v>1.0344418052256532</v>
      </c>
      <c r="K20" s="37">
        <f t="shared" si="5"/>
        <v>1.1961165048543685</v>
      </c>
      <c r="L20" s="37">
        <f t="shared" si="5"/>
        <v>0.8022774327122153</v>
      </c>
      <c r="M20" s="37">
        <f t="shared" si="5"/>
        <v>0.94962486602357965</v>
      </c>
      <c r="N20" s="37">
        <f t="shared" si="5"/>
        <v>0.8640256959314776</v>
      </c>
      <c r="O20" s="37">
        <f t="shared" si="5"/>
        <v>0.70292397660818728</v>
      </c>
      <c r="P20" s="37">
        <f t="shared" si="5"/>
        <v>0.70754716981132104</v>
      </c>
      <c r="Q20" s="37">
        <f t="shared" si="5"/>
        <v>0.31542758917060615</v>
      </c>
      <c r="R20" s="37">
        <f t="shared" si="5"/>
        <v>1.733695652173914</v>
      </c>
      <c r="S20" s="37">
        <f t="shared" si="5"/>
        <v>0.88117283950617231</v>
      </c>
      <c r="T20" s="37">
        <f t="shared" si="5"/>
        <v>9.2647058823529296</v>
      </c>
      <c r="U20" s="37">
        <f t="shared" si="5"/>
        <v>4.310249307479225</v>
      </c>
      <c r="V20" s="37">
        <f t="shared" si="5"/>
        <v>2.6545454545454552</v>
      </c>
      <c r="W20" s="37">
        <f t="shared" si="5"/>
        <v>0.64561403508771931</v>
      </c>
      <c r="X20" s="37">
        <f t="shared" si="5"/>
        <v>0.41899441340782118</v>
      </c>
      <c r="Y20" s="37">
        <f t="shared" si="5"/>
        <v>0.4065040650406504</v>
      </c>
      <c r="Z20" s="37">
        <f t="shared" si="5"/>
        <v>1.8095238095238089</v>
      </c>
      <c r="AA20" s="37">
        <f t="shared" si="5"/>
        <v>1.2961730449251248</v>
      </c>
      <c r="AB20" s="37">
        <f t="shared" si="5"/>
        <v>1.3435897435897446</v>
      </c>
      <c r="AC20" s="37">
        <f t="shared" si="5"/>
        <v>2.0550458715596323</v>
      </c>
      <c r="AD20" s="37">
        <f t="shared" si="5"/>
        <v>0.94153225806451635</v>
      </c>
      <c r="AE20" s="37">
        <f t="shared" si="5"/>
        <v>1.8471615720524013</v>
      </c>
      <c r="AF20" s="37">
        <f t="shared" si="5"/>
        <v>1.0312500000000002</v>
      </c>
      <c r="AG20" s="37">
        <f t="shared" si="5"/>
        <v>0.86498516320474805</v>
      </c>
      <c r="AH20" s="37">
        <f t="shared" si="5"/>
        <v>1.3051771117166215</v>
      </c>
      <c r="AI20" s="38">
        <f t="shared" si="5"/>
        <v>0.4631111111111112</v>
      </c>
      <c r="AJ20" s="37">
        <f t="shared" si="5"/>
        <v>5.7317073170731714</v>
      </c>
      <c r="AK20" s="37">
        <f t="shared" si="5"/>
        <v>0.92032520325203293</v>
      </c>
      <c r="AL20" s="37">
        <f t="shared" si="5"/>
        <v>0.73698336017176569</v>
      </c>
      <c r="AM20" s="37">
        <f t="shared" si="5"/>
        <v>1.0072202166064981</v>
      </c>
      <c r="AN20" s="37">
        <f t="shared" si="5"/>
        <v>0.9041916167664672</v>
      </c>
      <c r="AO20" s="37">
        <f t="shared" si="5"/>
        <v>0.68049792531120334</v>
      </c>
      <c r="AP20" s="37">
        <f t="shared" si="5"/>
        <v>1.7262079062957538</v>
      </c>
      <c r="AQ20" s="37">
        <f t="shared" si="5"/>
        <v>1.1706615532118883</v>
      </c>
      <c r="AR20" s="37">
        <f t="shared" si="5"/>
        <v>1.3093093093093093</v>
      </c>
      <c r="AS20" s="37">
        <f t="shared" si="5"/>
        <v>2.1030927835051556</v>
      </c>
      <c r="AT20" s="37">
        <f t="shared" si="5"/>
        <v>2.1553273427471118</v>
      </c>
      <c r="AU20" s="37">
        <f t="shared" si="5"/>
        <v>0.70967741935483863</v>
      </c>
      <c r="AV20" s="37">
        <f t="shared" si="5"/>
        <v>0.73796791443850296</v>
      </c>
      <c r="AW20" s="37">
        <f t="shared" si="5"/>
        <v>0.48745046235138706</v>
      </c>
      <c r="AX20" s="37">
        <f t="shared" si="5"/>
        <v>0.34253875968992231</v>
      </c>
      <c r="AY20" s="37">
        <f t="shared" si="5"/>
        <v>0.4411157024793389</v>
      </c>
      <c r="AZ20" s="37">
        <f t="shared" si="5"/>
        <v>1.0509885535900108</v>
      </c>
      <c r="BA20" s="37">
        <f t="shared" si="5"/>
        <v>0.74088187261839988</v>
      </c>
      <c r="BB20" s="37">
        <f t="shared" si="5"/>
        <v>1.4950884086444007</v>
      </c>
      <c r="BC20" s="37">
        <f t="shared" si="5"/>
        <v>0.8451424397370344</v>
      </c>
      <c r="BD20" s="37">
        <f t="shared" si="5"/>
        <v>2.511201629327902</v>
      </c>
      <c r="BE20" s="37">
        <f t="shared" si="5"/>
        <v>0.80076028622540263</v>
      </c>
      <c r="BF20" s="37">
        <f t="shared" si="5"/>
        <v>0.80240000000000011</v>
      </c>
      <c r="BG20" s="37">
        <f t="shared" si="5"/>
        <v>0.46115288220551398</v>
      </c>
      <c r="BH20" s="37">
        <f t="shared" si="5"/>
        <v>0.69114754098360676</v>
      </c>
      <c r="BI20" s="37">
        <f t="shared" si="5"/>
        <v>0.58858560794044679</v>
      </c>
      <c r="BJ20" s="37">
        <f t="shared" si="5"/>
        <v>1.3994082840236688</v>
      </c>
      <c r="BK20" s="37">
        <f t="shared" si="5"/>
        <v>1.3812849162011174</v>
      </c>
      <c r="BL20" s="37">
        <f t="shared" si="5"/>
        <v>7.4363636363636267</v>
      </c>
      <c r="BM20" s="37">
        <f t="shared" si="5"/>
        <v>1.0745945945945947</v>
      </c>
      <c r="BN20" s="37">
        <f t="shared" ref="BN20:CG20" si="6">BN19/BN18</f>
        <v>0.48659517426273424</v>
      </c>
      <c r="BO20" s="37">
        <f t="shared" si="6"/>
        <v>1.0100783874580066</v>
      </c>
      <c r="BP20" s="38">
        <f t="shared" si="6"/>
        <v>0.53099561678146501</v>
      </c>
      <c r="BQ20" s="37">
        <f t="shared" si="6"/>
        <v>17.666666666666671</v>
      </c>
      <c r="BR20" s="37">
        <f t="shared" si="6"/>
        <v>30.499999999999556</v>
      </c>
      <c r="BS20" s="37">
        <f t="shared" si="6"/>
        <v>2.2959183673469394</v>
      </c>
      <c r="BT20" s="37">
        <f t="shared" si="6"/>
        <v>2.0266429840142104</v>
      </c>
      <c r="BU20" s="37">
        <f t="shared" si="6"/>
        <v>2.9402985074626873</v>
      </c>
      <c r="BV20" s="37">
        <f t="shared" si="6"/>
        <v>12.243478260869564</v>
      </c>
      <c r="BW20" s="37">
        <f t="shared" si="6"/>
        <v>13.585365853658592</v>
      </c>
      <c r="BX20" s="37">
        <f t="shared" si="6"/>
        <v>2.0400432900432905</v>
      </c>
      <c r="BY20" s="37">
        <f t="shared" si="6"/>
        <v>4.7138461538461538</v>
      </c>
      <c r="BZ20" s="37">
        <f t="shared" si="6"/>
        <v>8.2237762237762269</v>
      </c>
      <c r="CA20" s="37">
        <f t="shared" si="6"/>
        <v>8.4719101123595539</v>
      </c>
      <c r="CB20" s="37">
        <f t="shared" si="6"/>
        <v>3.0670103092783481</v>
      </c>
      <c r="CC20" s="37">
        <f t="shared" si="6"/>
        <v>2.6715758468335795</v>
      </c>
      <c r="CD20" s="37">
        <f t="shared" si="6"/>
        <v>15.573170731707313</v>
      </c>
      <c r="CE20" s="37">
        <f t="shared" si="6"/>
        <v>13.423728813559329</v>
      </c>
      <c r="CF20" s="37">
        <f t="shared" si="6"/>
        <v>1.7232021709633656</v>
      </c>
      <c r="CG20" s="38">
        <f t="shared" si="6"/>
        <v>5.066298342541435</v>
      </c>
    </row>
    <row r="21" spans="1:182" s="23" customFormat="1" x14ac:dyDescent="0.3">
      <c r="A21" s="33"/>
      <c r="B21" s="47"/>
      <c r="C21" s="35"/>
      <c r="D21" s="35"/>
      <c r="E21" s="47"/>
      <c r="F21" s="35"/>
      <c r="G21" s="35"/>
      <c r="H21" s="47"/>
      <c r="I21" s="47"/>
      <c r="J21" s="47"/>
      <c r="K21" s="47"/>
      <c r="L21" s="35"/>
      <c r="M21" s="35"/>
      <c r="N21" s="35"/>
      <c r="O21" s="47"/>
      <c r="P21" s="35"/>
      <c r="Q21" s="35"/>
      <c r="R21" s="35"/>
      <c r="S21" s="47"/>
      <c r="T21" s="35"/>
      <c r="U21" s="35"/>
      <c r="V21" s="47"/>
      <c r="W21" s="47"/>
      <c r="X21" s="47"/>
      <c r="Y21" s="35"/>
      <c r="Z21" s="35"/>
      <c r="AA21" s="47"/>
      <c r="AB21" s="35"/>
      <c r="AC21" s="35"/>
      <c r="AD21" s="35"/>
      <c r="AE21" s="35"/>
      <c r="AF21" s="35"/>
      <c r="AG21" s="35"/>
      <c r="AH21" s="47"/>
      <c r="AI21" s="48"/>
      <c r="AJ21" s="47"/>
      <c r="AK21" s="35"/>
      <c r="AL21" s="47"/>
      <c r="AO21" s="47"/>
      <c r="AP21" s="47"/>
      <c r="AQ21" s="35"/>
      <c r="AR21" s="47"/>
      <c r="AS21" s="35"/>
      <c r="AT21" s="35"/>
      <c r="AU21" s="47"/>
      <c r="AW21" s="47"/>
      <c r="AX21" s="35"/>
      <c r="AY21" s="47"/>
      <c r="AZ21" s="47"/>
      <c r="BA21" s="35"/>
      <c r="BB21" s="35"/>
      <c r="BC21" s="47"/>
      <c r="BD21" s="35"/>
      <c r="BE21" s="47"/>
      <c r="BF21" s="47"/>
      <c r="BG21" s="47"/>
      <c r="BH21" s="35"/>
      <c r="BI21" s="35"/>
      <c r="BJ21" s="47"/>
      <c r="BK21" s="47"/>
      <c r="BL21" s="35"/>
      <c r="BM21" s="47"/>
      <c r="BN21" s="35"/>
      <c r="BP21" s="46"/>
      <c r="BR21" s="47"/>
      <c r="BT21" s="47"/>
      <c r="BW21" s="47"/>
      <c r="BX21" s="47"/>
      <c r="BY21" s="47"/>
      <c r="BZ21" s="47"/>
      <c r="CA21" s="47"/>
      <c r="CB21" s="47"/>
      <c r="CC21" s="47"/>
      <c r="CD21" s="47"/>
      <c r="CG21" s="49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</row>
    <row r="22" spans="1:182" s="42" customFormat="1" ht="18" x14ac:dyDescent="0.35">
      <c r="A22" s="26" t="s">
        <v>123</v>
      </c>
      <c r="B22" s="50">
        <v>7.61</v>
      </c>
      <c r="C22" s="50">
        <v>7.38</v>
      </c>
      <c r="D22" s="50">
        <v>6.9</v>
      </c>
      <c r="E22" s="50">
        <v>7.61</v>
      </c>
      <c r="F22" s="27">
        <v>7.45</v>
      </c>
      <c r="G22" s="27">
        <v>7.64</v>
      </c>
      <c r="H22" s="50">
        <v>6.48</v>
      </c>
      <c r="I22" s="50">
        <v>6.41</v>
      </c>
      <c r="J22" s="51">
        <v>7.35</v>
      </c>
      <c r="K22" s="50">
        <v>6.5</v>
      </c>
      <c r="L22" s="50">
        <v>7.48</v>
      </c>
      <c r="M22" s="50">
        <v>7</v>
      </c>
      <c r="N22" s="50">
        <v>7.07</v>
      </c>
      <c r="O22" s="51">
        <v>7.48</v>
      </c>
      <c r="P22" s="50">
        <v>8.4700000000000006</v>
      </c>
      <c r="Q22" s="50">
        <v>7.84</v>
      </c>
      <c r="R22" s="50">
        <v>4.9000000000000004</v>
      </c>
      <c r="S22" s="50">
        <v>7.51</v>
      </c>
      <c r="T22" s="50">
        <v>6.59</v>
      </c>
      <c r="U22" s="50">
        <v>6.24</v>
      </c>
      <c r="V22" s="51">
        <v>7.59</v>
      </c>
      <c r="W22" s="50">
        <v>7.73</v>
      </c>
      <c r="X22" s="50">
        <v>8.2100000000000009</v>
      </c>
      <c r="Y22" s="50">
        <v>6.86</v>
      </c>
      <c r="Z22" s="50">
        <v>6.71</v>
      </c>
      <c r="AA22" s="50">
        <v>6.31</v>
      </c>
      <c r="AB22" s="50">
        <v>7.14</v>
      </c>
      <c r="AC22" s="27">
        <v>6.39</v>
      </c>
      <c r="AD22" s="50">
        <v>6.02</v>
      </c>
      <c r="AE22" s="50">
        <v>6.47</v>
      </c>
      <c r="AF22" s="27">
        <v>8.02</v>
      </c>
      <c r="AG22" s="50">
        <v>7.02</v>
      </c>
      <c r="AH22" s="50">
        <v>7.11</v>
      </c>
      <c r="AI22" s="52" t="s">
        <v>124</v>
      </c>
      <c r="AJ22" s="52" t="s">
        <v>124</v>
      </c>
      <c r="AK22" s="51">
        <v>6.95</v>
      </c>
      <c r="AL22" s="51">
        <v>4.7300000000000004</v>
      </c>
      <c r="AM22" s="51">
        <v>6.84</v>
      </c>
      <c r="AN22" s="51">
        <v>7.28</v>
      </c>
      <c r="AO22" s="51">
        <v>7.23</v>
      </c>
      <c r="AP22" s="51">
        <v>6.77</v>
      </c>
      <c r="AQ22" s="51">
        <v>5.57</v>
      </c>
      <c r="AR22" s="51">
        <v>7.11</v>
      </c>
      <c r="AS22" s="51">
        <v>6.08</v>
      </c>
      <c r="AT22" s="51">
        <v>6.84</v>
      </c>
      <c r="AU22" s="51">
        <v>7.12</v>
      </c>
      <c r="AV22" s="51">
        <v>7.45</v>
      </c>
      <c r="AW22" s="51">
        <v>7.3</v>
      </c>
      <c r="AX22" s="51">
        <v>8.16</v>
      </c>
      <c r="AY22" s="51">
        <v>7.85</v>
      </c>
      <c r="AZ22" s="51">
        <v>6.91</v>
      </c>
      <c r="BA22" s="51">
        <v>6.94</v>
      </c>
      <c r="BB22" s="51">
        <v>6.94</v>
      </c>
      <c r="BC22" s="51">
        <v>6.88</v>
      </c>
      <c r="BD22" s="51">
        <v>6.98</v>
      </c>
      <c r="BE22" s="51" t="s">
        <v>124</v>
      </c>
      <c r="BF22" s="51">
        <v>7.44</v>
      </c>
      <c r="BG22" s="51">
        <v>7.45</v>
      </c>
      <c r="BH22" s="51">
        <v>7.31</v>
      </c>
      <c r="BI22" s="51">
        <v>6.58</v>
      </c>
      <c r="BJ22" s="51">
        <v>6.84</v>
      </c>
      <c r="BK22" s="51">
        <v>4.68</v>
      </c>
      <c r="BL22" s="51">
        <v>6.6</v>
      </c>
      <c r="BM22" s="51">
        <v>4.09</v>
      </c>
      <c r="BN22" s="51">
        <v>8.43</v>
      </c>
      <c r="BO22" s="51">
        <v>7.39</v>
      </c>
      <c r="BP22" s="52">
        <v>7.77</v>
      </c>
      <c r="BQ22" s="51">
        <v>6.59</v>
      </c>
      <c r="BR22" s="51">
        <v>6.3</v>
      </c>
      <c r="BS22" s="51">
        <v>6.83</v>
      </c>
      <c r="BT22" s="51">
        <v>7.11</v>
      </c>
      <c r="BU22" s="51">
        <v>6.53</v>
      </c>
      <c r="BV22" s="51">
        <v>6.67</v>
      </c>
      <c r="BW22" s="51">
        <v>6.11</v>
      </c>
      <c r="BX22" s="51">
        <v>7.49</v>
      </c>
      <c r="BY22" s="51">
        <v>7.07</v>
      </c>
      <c r="BZ22" s="51">
        <v>6.22</v>
      </c>
      <c r="CA22" s="51">
        <v>7.28</v>
      </c>
      <c r="CB22" s="51">
        <v>7.48</v>
      </c>
      <c r="CC22" s="51">
        <v>6.82</v>
      </c>
      <c r="CD22" s="51">
        <v>6.77</v>
      </c>
      <c r="CE22" s="51">
        <v>6.56</v>
      </c>
      <c r="CF22" s="51">
        <v>7.09</v>
      </c>
      <c r="CG22" s="52">
        <v>7.01</v>
      </c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</row>
    <row r="23" spans="1:182" s="42" customFormat="1" x14ac:dyDescent="0.3">
      <c r="A23" s="53"/>
      <c r="B23" s="54"/>
      <c r="E23" s="54"/>
      <c r="H23" s="54"/>
      <c r="I23" s="54"/>
      <c r="J23" s="28"/>
      <c r="K23" s="54"/>
      <c r="O23" s="28"/>
      <c r="S23" s="54"/>
      <c r="V23" s="28"/>
      <c r="W23" s="54"/>
      <c r="X23" s="54"/>
      <c r="AA23" s="54"/>
      <c r="AH23" s="54"/>
      <c r="AI23" s="29"/>
      <c r="AJ23" s="28"/>
      <c r="AK23" s="28"/>
      <c r="AO23" s="28"/>
      <c r="AQ23" s="28"/>
      <c r="AS23" s="28"/>
      <c r="AT23" s="28"/>
      <c r="AU23" s="28"/>
      <c r="AX23" s="28"/>
      <c r="AY23" s="28"/>
      <c r="BA23" s="28"/>
      <c r="BB23" s="28"/>
      <c r="BD23" s="28"/>
      <c r="BE23" s="28"/>
      <c r="BH23" s="28"/>
      <c r="BI23" s="28"/>
      <c r="BL23" s="28"/>
      <c r="BM23" s="28"/>
      <c r="BN23" s="28"/>
      <c r="BP23" s="29"/>
      <c r="BR23" s="28"/>
      <c r="BT23" s="28"/>
      <c r="BW23" s="28"/>
      <c r="BX23" s="28"/>
      <c r="BY23" s="28"/>
      <c r="BZ23" s="28"/>
      <c r="CA23" s="28"/>
      <c r="CB23" s="28"/>
      <c r="CC23" s="28"/>
      <c r="CD23" s="28"/>
      <c r="CG23" s="45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</row>
    <row r="24" spans="1:182" s="42" customFormat="1" ht="18" x14ac:dyDescent="0.35">
      <c r="A24" s="26" t="s">
        <v>125</v>
      </c>
      <c r="B24" s="54"/>
      <c r="E24" s="54"/>
      <c r="H24" s="54"/>
      <c r="I24" s="54"/>
      <c r="J24" s="28"/>
      <c r="K24" s="54"/>
      <c r="O24" s="28"/>
      <c r="S24" s="54"/>
      <c r="V24" s="28"/>
      <c r="W24" s="54"/>
      <c r="X24" s="54"/>
      <c r="AA24" s="54"/>
      <c r="AH24" s="54"/>
      <c r="AI24" s="29"/>
      <c r="AJ24" s="28"/>
      <c r="AK24" s="28"/>
      <c r="AO24" s="28"/>
      <c r="AQ24" s="28"/>
      <c r="AS24" s="28"/>
      <c r="AT24" s="28"/>
      <c r="AU24" s="28"/>
      <c r="AX24" s="28"/>
      <c r="AY24" s="28"/>
      <c r="BA24" s="28"/>
      <c r="BB24" s="28"/>
      <c r="BD24" s="28"/>
      <c r="BE24" s="28"/>
      <c r="BH24" s="28"/>
      <c r="BI24" s="28"/>
      <c r="BL24" s="28"/>
      <c r="BM24" s="28"/>
      <c r="BN24" s="28"/>
      <c r="BP24" s="29"/>
      <c r="BR24" s="28"/>
      <c r="BT24" s="28"/>
      <c r="BW24" s="28"/>
      <c r="BX24" s="28"/>
      <c r="BY24" s="28"/>
      <c r="BZ24" s="28"/>
      <c r="CA24" s="28"/>
      <c r="CB24" s="28"/>
      <c r="CC24" s="28"/>
      <c r="CD24" s="28"/>
      <c r="CG24" s="45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</row>
    <row r="25" spans="1:182" x14ac:dyDescent="0.3">
      <c r="A25" s="30" t="s">
        <v>126</v>
      </c>
      <c r="B25" s="55">
        <v>801</v>
      </c>
      <c r="C25" s="55">
        <v>1031.4399999999998</v>
      </c>
      <c r="D25" s="55">
        <v>228.04000000000002</v>
      </c>
      <c r="E25" s="55">
        <v>838.8</v>
      </c>
      <c r="F25" s="55">
        <v>316.44</v>
      </c>
      <c r="G25" s="55">
        <v>719.04</v>
      </c>
      <c r="H25" s="55">
        <v>736.8</v>
      </c>
      <c r="I25" s="55">
        <v>1251.5999999999999</v>
      </c>
      <c r="J25" s="55">
        <v>493.11</v>
      </c>
      <c r="K25" s="55">
        <v>1187.3999999999999</v>
      </c>
      <c r="L25" s="55">
        <v>599.54</v>
      </c>
      <c r="M25" s="55">
        <v>463.94</v>
      </c>
      <c r="N25" s="55">
        <v>309.64</v>
      </c>
      <c r="O25" s="55">
        <v>237.429</v>
      </c>
      <c r="P25" s="55">
        <v>376.34000000000003</v>
      </c>
      <c r="Q25" s="55">
        <v>92.839999999999989</v>
      </c>
      <c r="R25" s="55">
        <v>1166.4399999999998</v>
      </c>
      <c r="S25" s="55">
        <v>1040.4000000000001</v>
      </c>
      <c r="T25" s="55">
        <v>314.84000000000003</v>
      </c>
      <c r="U25" s="55">
        <v>387.94000000000005</v>
      </c>
      <c r="V25" s="55">
        <v>820.95</v>
      </c>
      <c r="W25" s="55">
        <v>799.7</v>
      </c>
      <c r="X25" s="55">
        <v>495.6</v>
      </c>
      <c r="Y25" s="55">
        <v>398.14</v>
      </c>
      <c r="Z25" s="55">
        <v>667.2399999999999</v>
      </c>
      <c r="AA25" s="55">
        <v>1013.4000000000001</v>
      </c>
      <c r="AB25" s="55">
        <v>726.13999999999987</v>
      </c>
      <c r="AC25" s="55">
        <v>516.04</v>
      </c>
      <c r="AD25" s="55">
        <v>386.74</v>
      </c>
      <c r="AE25" s="55">
        <v>684.2399999999999</v>
      </c>
      <c r="AF25" s="55">
        <v>251.24</v>
      </c>
      <c r="AG25" s="55">
        <v>422.34000000000003</v>
      </c>
      <c r="AH25" s="55">
        <v>882</v>
      </c>
      <c r="AI25" s="56">
        <v>43.555</v>
      </c>
      <c r="AJ25" s="55">
        <v>37.913000000000004</v>
      </c>
      <c r="AK25" s="55">
        <v>526.68999999999994</v>
      </c>
      <c r="AL25" s="55">
        <v>477.71</v>
      </c>
      <c r="AM25" s="55">
        <v>536.91999999999996</v>
      </c>
      <c r="AN25" s="55">
        <v>116.297</v>
      </c>
      <c r="AO25" s="55">
        <v>385.95</v>
      </c>
      <c r="AP25" s="55">
        <v>439.27</v>
      </c>
      <c r="AQ25" s="55">
        <v>708.97</v>
      </c>
      <c r="AR25" s="55">
        <v>644.80000000000007</v>
      </c>
      <c r="AS25" s="55">
        <v>602.33000000000004</v>
      </c>
      <c r="AT25" s="55">
        <v>640.46</v>
      </c>
      <c r="AU25" s="55">
        <v>300.39</v>
      </c>
      <c r="AV25" s="55">
        <v>179.27300000000002</v>
      </c>
      <c r="AW25" s="55">
        <v>214.48899999999998</v>
      </c>
      <c r="AX25" s="55">
        <v>157.387</v>
      </c>
      <c r="AY25" s="55">
        <v>112.81699999999999</v>
      </c>
      <c r="AZ25" s="55">
        <v>564.19999999999993</v>
      </c>
      <c r="BA25" s="55">
        <v>309.13200000000001</v>
      </c>
      <c r="BB25" s="55">
        <v>520.18000000000006</v>
      </c>
      <c r="BC25" s="55">
        <v>303.92400000000004</v>
      </c>
      <c r="BD25" s="55">
        <v>1840.78</v>
      </c>
      <c r="BE25" s="55">
        <v>34.875</v>
      </c>
      <c r="BF25" s="55">
        <v>308.45</v>
      </c>
      <c r="BG25" s="55">
        <v>318.37</v>
      </c>
      <c r="BH25" s="55">
        <v>213.249</v>
      </c>
      <c r="BI25" s="55">
        <v>252.65</v>
      </c>
      <c r="BJ25" s="55">
        <v>946.12</v>
      </c>
      <c r="BK25" s="55">
        <v>869.55000000000007</v>
      </c>
      <c r="BL25" s="55">
        <v>415.16</v>
      </c>
      <c r="BM25" s="55">
        <v>943.0200000000001</v>
      </c>
      <c r="BN25" s="55">
        <v>203.39099999999999</v>
      </c>
      <c r="BO25" s="55">
        <v>342.23999999999995</v>
      </c>
      <c r="BP25" s="56">
        <v>216.62800000000001</v>
      </c>
      <c r="BQ25" s="55">
        <v>596.75</v>
      </c>
      <c r="BR25" s="55">
        <v>103.974</v>
      </c>
      <c r="BS25" s="55">
        <v>445.46999999999997</v>
      </c>
      <c r="BT25" s="55">
        <v>631.16</v>
      </c>
      <c r="BU25" s="55">
        <v>561.41</v>
      </c>
      <c r="BV25" s="55">
        <v>727.88</v>
      </c>
      <c r="BW25" s="55">
        <v>237.429</v>
      </c>
      <c r="BX25" s="55">
        <v>534.43999999999994</v>
      </c>
      <c r="BY25" s="55">
        <v>453.53000000000003</v>
      </c>
      <c r="BZ25" s="55">
        <v>391.84000000000003</v>
      </c>
      <c r="CA25" s="55">
        <v>796.08</v>
      </c>
      <c r="CB25" s="55">
        <v>459.11</v>
      </c>
      <c r="CC25" s="55">
        <v>402.07</v>
      </c>
      <c r="CD25" s="55">
        <v>432.14</v>
      </c>
      <c r="CE25" s="55">
        <v>327.67</v>
      </c>
      <c r="CF25" s="55">
        <v>401.14</v>
      </c>
      <c r="CG25" s="56">
        <v>410.13</v>
      </c>
    </row>
    <row r="26" spans="1:182" x14ac:dyDescent="0.3">
      <c r="A26" s="30" t="s">
        <v>127</v>
      </c>
      <c r="B26" s="55">
        <v>3.8999999999999773</v>
      </c>
      <c r="C26" s="55">
        <v>42.879999999999882</v>
      </c>
      <c r="D26" s="55">
        <v>4.3800000000000239</v>
      </c>
      <c r="E26" s="55">
        <v>0.9</v>
      </c>
      <c r="F26" s="55">
        <v>6.0799999999999841</v>
      </c>
      <c r="G26" s="55">
        <v>20.67999999999995</v>
      </c>
      <c r="H26" s="55">
        <v>1.7999999999999545</v>
      </c>
      <c r="I26" s="55">
        <v>23.099999999999909</v>
      </c>
      <c r="J26" s="55">
        <v>0.51999999999998181</v>
      </c>
      <c r="K26" s="55">
        <v>3.5999999999999091</v>
      </c>
      <c r="L26" s="55">
        <v>10.079999999999927</v>
      </c>
      <c r="M26" s="55">
        <v>4.0800000000000409</v>
      </c>
      <c r="N26" s="55">
        <v>2.7799999999999727</v>
      </c>
      <c r="O26" s="55">
        <v>6.9440000000000168</v>
      </c>
      <c r="P26" s="55">
        <v>0.28000000000002956</v>
      </c>
      <c r="Q26" s="55">
        <v>1.8799999999999812</v>
      </c>
      <c r="R26" s="55">
        <v>15.879999999999882</v>
      </c>
      <c r="S26" s="55">
        <v>3.3000000000001819</v>
      </c>
      <c r="T26" s="55">
        <v>16.780000000000086</v>
      </c>
      <c r="U26" s="55">
        <v>14.380000000000052</v>
      </c>
      <c r="V26" s="55">
        <v>0.69000000000005457</v>
      </c>
      <c r="W26" s="55">
        <v>1.2</v>
      </c>
      <c r="X26" s="55">
        <v>0</v>
      </c>
      <c r="Y26" s="55">
        <v>14.579999999999984</v>
      </c>
      <c r="Z26" s="55">
        <v>18.879999999999882</v>
      </c>
      <c r="AA26" s="55">
        <v>13.800000000000068</v>
      </c>
      <c r="AB26" s="55">
        <v>11.479999999999905</v>
      </c>
      <c r="AC26" s="55">
        <v>20.480000000000018</v>
      </c>
      <c r="AD26" s="55">
        <v>11.880000000000052</v>
      </c>
      <c r="AE26" s="55">
        <v>13.279999999999859</v>
      </c>
      <c r="AF26" s="55">
        <v>3.7800000000000296</v>
      </c>
      <c r="AG26" s="55">
        <v>16.780000000000086</v>
      </c>
      <c r="AH26" s="55">
        <v>0.9</v>
      </c>
      <c r="AI26" s="56">
        <v>1.6429999999999936</v>
      </c>
      <c r="AJ26" s="55">
        <v>0.52700000000000813</v>
      </c>
      <c r="AK26" s="55">
        <v>10.849999999999909</v>
      </c>
      <c r="AL26" s="55">
        <v>5.5799999999999841</v>
      </c>
      <c r="AM26" s="55">
        <v>13.329999999999927</v>
      </c>
      <c r="AN26" s="55">
        <v>0.38800000000000523</v>
      </c>
      <c r="AO26" s="55">
        <v>6.8199999999999932</v>
      </c>
      <c r="AP26" s="55">
        <v>7.4399999999999977</v>
      </c>
      <c r="AQ26" s="55">
        <v>21.389999999999986</v>
      </c>
      <c r="AR26" s="55">
        <v>15.190000000000055</v>
      </c>
      <c r="AS26" s="55">
        <v>18.290000000000077</v>
      </c>
      <c r="AT26" s="55">
        <v>14.57000000000005</v>
      </c>
      <c r="AU26" s="55">
        <v>6.8199999999999932</v>
      </c>
      <c r="AV26" s="55">
        <v>1.271000000000015</v>
      </c>
      <c r="AW26" s="55">
        <v>6.7579999999999814</v>
      </c>
      <c r="AX26" s="55">
        <v>0</v>
      </c>
      <c r="AY26" s="55">
        <v>0.75199999999998113</v>
      </c>
      <c r="AZ26" s="55">
        <v>16.739999999999895</v>
      </c>
      <c r="BA26" s="55">
        <v>8.9280000000000541</v>
      </c>
      <c r="BB26" s="55">
        <v>8.9900000000001228</v>
      </c>
      <c r="BC26" s="55">
        <v>4.3400000000000318</v>
      </c>
      <c r="BD26" s="55">
        <v>23.559999999999945</v>
      </c>
      <c r="BE26" s="55">
        <v>3.4100000000000037</v>
      </c>
      <c r="BF26" s="55">
        <v>7.7810000000000059</v>
      </c>
      <c r="BG26" s="55">
        <v>9.1139999999999759</v>
      </c>
      <c r="BH26" s="55">
        <v>4.3089999999999975</v>
      </c>
      <c r="BI26" s="55">
        <v>6.6340000000000146</v>
      </c>
      <c r="BJ26" s="55">
        <v>16.120000000000005</v>
      </c>
      <c r="BK26" s="55">
        <v>10.230000000000132</v>
      </c>
      <c r="BL26" s="55">
        <v>0.37999999999999545</v>
      </c>
      <c r="BM26" s="55">
        <v>21.700000000000159</v>
      </c>
      <c r="BN26" s="55">
        <v>4.061000000000007</v>
      </c>
      <c r="BO26" s="55">
        <v>4.0299999999999727</v>
      </c>
      <c r="BP26" s="56">
        <v>1.085000000000008</v>
      </c>
      <c r="BQ26" s="55">
        <v>9.9199999999999591</v>
      </c>
      <c r="BR26" s="55">
        <v>5.3010000000000019</v>
      </c>
      <c r="BS26" s="55">
        <v>4.6499999999999773</v>
      </c>
      <c r="BT26" s="55">
        <v>0.62000000000000455</v>
      </c>
      <c r="BU26" s="55">
        <v>12.710000000000036</v>
      </c>
      <c r="BV26" s="55">
        <v>20.150000000000091</v>
      </c>
      <c r="BW26" s="55">
        <v>4.9909999999999854</v>
      </c>
      <c r="BX26" s="55">
        <v>3.4099999999999682</v>
      </c>
      <c r="BY26" s="55">
        <v>3.410000000000025</v>
      </c>
      <c r="BZ26" s="55">
        <v>2.4800000000000182</v>
      </c>
      <c r="CA26" s="55">
        <v>0.14000000000010004</v>
      </c>
      <c r="CB26" s="55">
        <v>3.410000000000025</v>
      </c>
      <c r="CC26" s="55">
        <v>3.410000000000025</v>
      </c>
      <c r="CD26" s="55">
        <v>4.9599999999999795</v>
      </c>
      <c r="CE26" s="55">
        <v>9.3000000000000114</v>
      </c>
      <c r="CF26" s="55">
        <v>4.9599999999999795</v>
      </c>
      <c r="CG26" s="56">
        <v>1.5500000000000114</v>
      </c>
    </row>
    <row r="27" spans="1:182" x14ac:dyDescent="0.3">
      <c r="A27" s="30" t="s">
        <v>128</v>
      </c>
      <c r="B27" s="55">
        <v>797.1</v>
      </c>
      <c r="C27" s="55">
        <v>988.56</v>
      </c>
      <c r="D27" s="55">
        <v>223.66</v>
      </c>
      <c r="E27" s="55">
        <v>837.9</v>
      </c>
      <c r="F27" s="55">
        <v>310.36</v>
      </c>
      <c r="G27" s="55">
        <v>698.36</v>
      </c>
      <c r="H27" s="55">
        <v>735</v>
      </c>
      <c r="I27" s="55">
        <v>1228.5</v>
      </c>
      <c r="J27" s="55">
        <v>492.59000000000003</v>
      </c>
      <c r="K27" s="55">
        <v>1183.8</v>
      </c>
      <c r="L27" s="55">
        <v>589.46</v>
      </c>
      <c r="M27" s="55">
        <v>459.85999999999996</v>
      </c>
      <c r="N27" s="55">
        <v>306.86</v>
      </c>
      <c r="O27" s="55">
        <v>230.48499999999999</v>
      </c>
      <c r="P27" s="55">
        <v>376.06</v>
      </c>
      <c r="Q27" s="55">
        <v>90.960000000000008</v>
      </c>
      <c r="R27" s="55">
        <v>1150.56</v>
      </c>
      <c r="S27" s="55">
        <v>1037.0999999999999</v>
      </c>
      <c r="T27" s="55">
        <v>298.05999999999995</v>
      </c>
      <c r="U27" s="55">
        <v>373.56</v>
      </c>
      <c r="V27" s="55">
        <v>820.26</v>
      </c>
      <c r="W27" s="55">
        <v>798.5</v>
      </c>
      <c r="X27" s="55">
        <v>495.59999999999997</v>
      </c>
      <c r="Y27" s="55">
        <v>383.56</v>
      </c>
      <c r="Z27" s="55">
        <v>648.36</v>
      </c>
      <c r="AA27" s="55">
        <v>999.6</v>
      </c>
      <c r="AB27" s="55">
        <v>714.66</v>
      </c>
      <c r="AC27" s="55">
        <v>495.55999999999995</v>
      </c>
      <c r="AD27" s="55">
        <v>374.85999999999996</v>
      </c>
      <c r="AE27" s="55">
        <v>670.96</v>
      </c>
      <c r="AF27" s="55">
        <v>247.45999999999998</v>
      </c>
      <c r="AG27" s="55">
        <v>405.55999999999995</v>
      </c>
      <c r="AH27" s="55">
        <v>881.1</v>
      </c>
      <c r="AI27" s="56">
        <v>41.912000000000006</v>
      </c>
      <c r="AJ27" s="55">
        <v>37.385999999999996</v>
      </c>
      <c r="AK27" s="55">
        <v>515.84</v>
      </c>
      <c r="AL27" s="55">
        <v>472.13</v>
      </c>
      <c r="AM27" s="55">
        <v>523.59</v>
      </c>
      <c r="AN27" s="55">
        <v>115.90899999999999</v>
      </c>
      <c r="AO27" s="55">
        <v>379.13</v>
      </c>
      <c r="AP27" s="55">
        <v>431.83</v>
      </c>
      <c r="AQ27" s="55">
        <v>687.58</v>
      </c>
      <c r="AR27" s="55">
        <v>629.61</v>
      </c>
      <c r="AS27" s="55">
        <v>584.04</v>
      </c>
      <c r="AT27" s="55">
        <v>625.89</v>
      </c>
      <c r="AU27" s="55">
        <v>293.57</v>
      </c>
      <c r="AV27" s="55">
        <v>178.00200000000001</v>
      </c>
      <c r="AW27" s="55">
        <v>207.73099999999999</v>
      </c>
      <c r="AX27" s="55">
        <v>157.387</v>
      </c>
      <c r="AY27" s="55">
        <v>112.06500000000001</v>
      </c>
      <c r="AZ27" s="55">
        <v>547.46</v>
      </c>
      <c r="BA27" s="55">
        <v>300.20399999999995</v>
      </c>
      <c r="BB27" s="55">
        <v>511.18999999999994</v>
      </c>
      <c r="BC27" s="55">
        <v>299.584</v>
      </c>
      <c r="BD27" s="55">
        <v>1817.22</v>
      </c>
      <c r="BE27" s="55">
        <v>31.464999999999996</v>
      </c>
      <c r="BF27" s="55">
        <v>300.66899999999998</v>
      </c>
      <c r="BG27" s="55">
        <v>309.25600000000003</v>
      </c>
      <c r="BH27" s="55">
        <v>208.94</v>
      </c>
      <c r="BI27" s="55">
        <v>246.01599999999999</v>
      </c>
      <c r="BJ27" s="55">
        <v>930</v>
      </c>
      <c r="BK27" s="55">
        <v>859.31999999999994</v>
      </c>
      <c r="BL27" s="55">
        <v>414.78000000000003</v>
      </c>
      <c r="BM27" s="55">
        <v>921.31999999999994</v>
      </c>
      <c r="BN27" s="55">
        <v>199.32999999999998</v>
      </c>
      <c r="BO27" s="55">
        <v>338.21</v>
      </c>
      <c r="BP27" s="56">
        <v>215.54300000000001</v>
      </c>
      <c r="BQ27" s="55">
        <v>586.83000000000004</v>
      </c>
      <c r="BR27" s="55">
        <v>98.673000000000002</v>
      </c>
      <c r="BS27" s="55">
        <v>440.82</v>
      </c>
      <c r="BT27" s="55">
        <v>630.54</v>
      </c>
      <c r="BU27" s="55">
        <v>548.69999999999993</v>
      </c>
      <c r="BV27" s="55">
        <v>707.7299999999999</v>
      </c>
      <c r="BW27" s="55">
        <v>232.43800000000002</v>
      </c>
      <c r="BX27" s="55">
        <v>531.03</v>
      </c>
      <c r="BY27" s="55">
        <v>450.12</v>
      </c>
      <c r="BZ27" s="55">
        <v>389.36</v>
      </c>
      <c r="CA27" s="55">
        <v>797.93999999999994</v>
      </c>
      <c r="CB27" s="55">
        <v>455.7</v>
      </c>
      <c r="CC27" s="55">
        <v>398.65999999999997</v>
      </c>
      <c r="CD27" s="55">
        <v>427.18</v>
      </c>
      <c r="CE27" s="55">
        <v>318.37</v>
      </c>
      <c r="CF27" s="55">
        <v>396.18</v>
      </c>
      <c r="CG27" s="56">
        <v>408.58</v>
      </c>
    </row>
    <row r="28" spans="1:182" x14ac:dyDescent="0.3">
      <c r="A28" s="30" t="s">
        <v>129</v>
      </c>
      <c r="B28" s="55">
        <v>171.54</v>
      </c>
      <c r="C28" s="55">
        <v>38.931999999999995</v>
      </c>
      <c r="D28" s="55">
        <v>8.3620000000000001</v>
      </c>
      <c r="E28" s="55">
        <v>72.06</v>
      </c>
      <c r="F28" s="55">
        <v>74.261999999999986</v>
      </c>
      <c r="G28" s="55">
        <v>40.481999999999999</v>
      </c>
      <c r="H28" s="55">
        <v>416.09999999999997</v>
      </c>
      <c r="I28" s="55">
        <v>109.53</v>
      </c>
      <c r="J28" s="55">
        <v>43.555</v>
      </c>
      <c r="K28" s="55">
        <v>121.47000000000001</v>
      </c>
      <c r="L28" s="55">
        <v>50.442</v>
      </c>
      <c r="M28" s="55">
        <v>26.131999999999998</v>
      </c>
      <c r="N28" s="55">
        <v>23.341999999999999</v>
      </c>
      <c r="O28" s="55">
        <v>20.559200000000001</v>
      </c>
      <c r="P28" s="55">
        <v>44.372</v>
      </c>
      <c r="Q28" s="55">
        <v>0.53300000000000014</v>
      </c>
      <c r="R28" s="55">
        <v>46.271999999999991</v>
      </c>
      <c r="S28" s="55">
        <v>98.73</v>
      </c>
      <c r="T28" s="55">
        <v>28.772000000000002</v>
      </c>
      <c r="U28" s="55">
        <v>25.692</v>
      </c>
      <c r="V28" s="55">
        <v>121.334</v>
      </c>
      <c r="W28" s="55">
        <v>885.30000000000007</v>
      </c>
      <c r="X28" s="55">
        <v>171.15</v>
      </c>
      <c r="Y28" s="55">
        <v>37.512</v>
      </c>
      <c r="Z28" s="55">
        <v>40.631999999999991</v>
      </c>
      <c r="AA28" s="55">
        <v>90.899999999999991</v>
      </c>
      <c r="AB28" s="55">
        <v>47.542000000000002</v>
      </c>
      <c r="AC28" s="55">
        <v>27.352000000000004</v>
      </c>
      <c r="AD28" s="55">
        <v>16.502000000000002</v>
      </c>
      <c r="AE28" s="55">
        <v>30.722000000000001</v>
      </c>
      <c r="AF28" s="55">
        <v>13.722000000000003</v>
      </c>
      <c r="AG28" s="55">
        <v>30.122</v>
      </c>
      <c r="AH28" s="55">
        <v>340.2</v>
      </c>
      <c r="AI28" s="56">
        <v>7.8026999999999997</v>
      </c>
      <c r="AJ28" s="55">
        <v>8.4382000000000001</v>
      </c>
      <c r="AK28" s="55">
        <v>30.454400000000003</v>
      </c>
      <c r="AL28" s="55">
        <v>25.023199999999999</v>
      </c>
      <c r="AM28" s="55">
        <v>39.555999999999997</v>
      </c>
      <c r="AN28" s="55">
        <v>42.903999999999996</v>
      </c>
      <c r="AO28" s="55">
        <v>28.6006</v>
      </c>
      <c r="AP28" s="55">
        <v>31.092999999999996</v>
      </c>
      <c r="AQ28" s="55">
        <v>36.332000000000001</v>
      </c>
      <c r="AR28" s="55">
        <v>57.442999999999998</v>
      </c>
      <c r="AS28" s="55">
        <v>41.416000000000004</v>
      </c>
      <c r="AT28" s="55">
        <v>43.927</v>
      </c>
      <c r="AU28" s="55">
        <v>23.876200000000001</v>
      </c>
      <c r="AV28" s="55">
        <v>30.2684</v>
      </c>
      <c r="AW28" s="55">
        <v>16.020800000000001</v>
      </c>
      <c r="AX28" s="55">
        <v>17.192599999999999</v>
      </c>
      <c r="AY28" s="55">
        <v>12.8774</v>
      </c>
      <c r="AZ28" s="55">
        <v>39.090999999999994</v>
      </c>
      <c r="BA28" s="55">
        <v>20.2988</v>
      </c>
      <c r="BB28" s="55">
        <v>36.393999999999998</v>
      </c>
      <c r="BC28" s="55">
        <v>20.078700000000001</v>
      </c>
      <c r="BD28" s="55">
        <v>296.82499999999999</v>
      </c>
      <c r="BE28" s="55">
        <v>7.1486000000000001</v>
      </c>
      <c r="BF28" s="55">
        <v>197.43899999999999</v>
      </c>
      <c r="BG28" s="55">
        <v>39.772999999999996</v>
      </c>
      <c r="BH28" s="55">
        <v>16.997299999999999</v>
      </c>
      <c r="BI28" s="55">
        <v>19.4618</v>
      </c>
      <c r="BJ28" s="55">
        <v>59.21</v>
      </c>
      <c r="BK28" s="55">
        <v>43.617000000000004</v>
      </c>
      <c r="BL28" s="55">
        <v>29.7166</v>
      </c>
      <c r="BM28" s="55">
        <v>52.948</v>
      </c>
      <c r="BN28" s="55">
        <v>13.717499999999999</v>
      </c>
      <c r="BO28" s="55">
        <v>57.442999999999998</v>
      </c>
      <c r="BP28" s="56">
        <v>16.7865</v>
      </c>
      <c r="BQ28" s="55">
        <v>110.267</v>
      </c>
      <c r="BR28" s="55">
        <v>5.2328000000000001</v>
      </c>
      <c r="BS28" s="55">
        <v>82.646000000000001</v>
      </c>
      <c r="BT28" s="55">
        <v>96.689000000000007</v>
      </c>
      <c r="BU28" s="55">
        <v>67.796999999999997</v>
      </c>
      <c r="BV28" s="55">
        <v>215.667</v>
      </c>
      <c r="BW28" s="55">
        <v>20.77</v>
      </c>
      <c r="BX28" s="55">
        <v>180.14099999999999</v>
      </c>
      <c r="BY28" s="55">
        <v>79.949000000000012</v>
      </c>
      <c r="BZ28" s="55">
        <v>71.734000000000009</v>
      </c>
      <c r="CA28" s="55">
        <v>180.792</v>
      </c>
      <c r="CB28" s="55">
        <v>171.58500000000001</v>
      </c>
      <c r="CC28" s="55">
        <v>63.953000000000003</v>
      </c>
      <c r="CD28" s="55">
        <v>30.9194</v>
      </c>
      <c r="CE28" s="55">
        <v>77.623999999999995</v>
      </c>
      <c r="CF28" s="55">
        <v>95.665999999999997</v>
      </c>
      <c r="CG28" s="56">
        <v>103.261</v>
      </c>
    </row>
    <row r="29" spans="1:182" x14ac:dyDescent="0.3">
      <c r="A29" s="30"/>
      <c r="B29" s="55"/>
      <c r="C29" s="57"/>
      <c r="D29" s="57"/>
      <c r="E29" s="55"/>
      <c r="F29" s="57"/>
      <c r="G29" s="57"/>
      <c r="H29" s="55"/>
      <c r="I29" s="55"/>
      <c r="J29" s="55"/>
      <c r="K29" s="55"/>
      <c r="L29" s="57"/>
      <c r="M29" s="57"/>
      <c r="N29" s="57"/>
      <c r="O29" s="55"/>
      <c r="P29" s="57"/>
      <c r="Q29" s="57"/>
      <c r="R29" s="57"/>
      <c r="S29" s="55"/>
      <c r="T29" s="57"/>
      <c r="U29" s="57"/>
      <c r="V29" s="55"/>
      <c r="W29" s="55"/>
      <c r="X29" s="55"/>
      <c r="Y29" s="57"/>
      <c r="Z29" s="57"/>
      <c r="AA29" s="55"/>
      <c r="AB29" s="57"/>
      <c r="AC29" s="57"/>
      <c r="AD29" s="57"/>
      <c r="AE29" s="57"/>
      <c r="AF29" s="57"/>
      <c r="AG29" s="57"/>
      <c r="AH29" s="55"/>
      <c r="AI29" s="56"/>
      <c r="AJ29" s="55"/>
      <c r="AK29" s="55"/>
      <c r="AL29" s="57"/>
      <c r="AM29" s="57"/>
      <c r="AN29" s="57"/>
      <c r="AO29" s="55"/>
      <c r="AP29" s="57"/>
      <c r="AQ29" s="55"/>
      <c r="AR29" s="57"/>
      <c r="AS29" s="55"/>
      <c r="AT29" s="55"/>
      <c r="AU29" s="55"/>
      <c r="AV29" s="57"/>
      <c r="AW29" s="57"/>
      <c r="AX29" s="55"/>
      <c r="AY29" s="55"/>
      <c r="AZ29" s="57"/>
      <c r="BA29" s="55"/>
      <c r="BB29" s="55"/>
      <c r="BC29" s="57"/>
      <c r="BD29" s="55"/>
      <c r="BE29" s="55"/>
      <c r="BF29" s="57"/>
      <c r="BG29" s="57"/>
      <c r="BH29" s="55"/>
      <c r="BI29" s="55"/>
      <c r="BJ29" s="57"/>
      <c r="BK29" s="57"/>
      <c r="BL29" s="55"/>
      <c r="BM29" s="55"/>
      <c r="BN29" s="55"/>
      <c r="BO29" s="57"/>
      <c r="BP29" s="56"/>
      <c r="BQ29" s="57"/>
      <c r="BR29" s="55"/>
      <c r="BS29" s="57"/>
      <c r="BT29" s="57"/>
      <c r="BU29" s="57"/>
      <c r="BV29" s="57"/>
      <c r="BW29" s="55"/>
      <c r="BX29" s="55"/>
      <c r="BY29" s="55"/>
      <c r="BZ29" s="57"/>
      <c r="CA29" s="55"/>
      <c r="CB29" s="55"/>
      <c r="CC29" s="55"/>
      <c r="CD29" s="55"/>
      <c r="CE29" s="57"/>
      <c r="CF29" s="57"/>
      <c r="CG29" s="58"/>
    </row>
    <row r="30" spans="1:182" x14ac:dyDescent="0.3">
      <c r="A30" s="30" t="s">
        <v>130</v>
      </c>
      <c r="B30" s="55">
        <f t="shared" ref="B30:BD33" si="7">(B25*(B$19/1000))/(B$16/1000)</f>
        <v>281.15539305301644</v>
      </c>
      <c r="C30" s="55">
        <f t="shared" si="7"/>
        <v>426.3461874197688</v>
      </c>
      <c r="D30" s="55">
        <f t="shared" si="7"/>
        <v>62.452269170579072</v>
      </c>
      <c r="E30" s="55">
        <f t="shared" si="7"/>
        <v>248.34201800094741</v>
      </c>
      <c r="F30" s="55">
        <f t="shared" si="7"/>
        <v>90.220955056179776</v>
      </c>
      <c r="G30" s="55">
        <f t="shared" si="7"/>
        <v>212.27697262479867</v>
      </c>
      <c r="H30" s="55">
        <f t="shared" si="7"/>
        <v>184.71500465983223</v>
      </c>
      <c r="I30" s="55">
        <f t="shared" si="7"/>
        <v>441.7411764705883</v>
      </c>
      <c r="J30" s="55">
        <f t="shared" si="7"/>
        <v>231.03755244755249</v>
      </c>
      <c r="K30" s="55">
        <f t="shared" si="7"/>
        <v>474.34396887159517</v>
      </c>
      <c r="L30" s="55">
        <f t="shared" si="7"/>
        <v>232.90401002506263</v>
      </c>
      <c r="M30" s="55">
        <f t="shared" si="7"/>
        <v>209.71981632653058</v>
      </c>
      <c r="N30" s="55">
        <f t="shared" si="7"/>
        <v>127.22987780040734</v>
      </c>
      <c r="O30" s="55">
        <f t="shared" si="7"/>
        <v>75.740355095541418</v>
      </c>
      <c r="P30" s="55">
        <f t="shared" si="7"/>
        <v>45.451690821256044</v>
      </c>
      <c r="Q30" s="55">
        <f t="shared" si="7"/>
        <v>20.311344262295091</v>
      </c>
      <c r="R30" s="55">
        <f t="shared" si="7"/>
        <v>307.0085478547856</v>
      </c>
      <c r="S30" s="55">
        <f t="shared" si="7"/>
        <v>355.94272019173144</v>
      </c>
      <c r="T30" s="55">
        <f t="shared" si="7"/>
        <v>263.06259946949609</v>
      </c>
      <c r="U30" s="55">
        <f t="shared" si="7"/>
        <v>433.33427135678397</v>
      </c>
      <c r="V30" s="55">
        <f t="shared" si="7"/>
        <v>209.72650918635173</v>
      </c>
      <c r="W30" s="55">
        <f t="shared" si="7"/>
        <v>111.81215805471123</v>
      </c>
      <c r="X30" s="55">
        <f t="shared" si="7"/>
        <v>121.76904176904178</v>
      </c>
      <c r="Y30" s="55">
        <f t="shared" si="7"/>
        <v>118.55541170378042</v>
      </c>
      <c r="Z30" s="55">
        <f t="shared" si="7"/>
        <v>297.20287179487173</v>
      </c>
      <c r="AA30" s="55">
        <f t="shared" si="7"/>
        <v>490.0301675977654</v>
      </c>
      <c r="AB30" s="55">
        <f t="shared" si="7"/>
        <v>156.19760262725782</v>
      </c>
      <c r="AC30" s="55">
        <f t="shared" si="7"/>
        <v>259.17704035874436</v>
      </c>
      <c r="AD30" s="55">
        <f t="shared" si="7"/>
        <v>118.43120000000005</v>
      </c>
      <c r="AE30" s="55">
        <f t="shared" si="7"/>
        <v>233.22604351329568</v>
      </c>
      <c r="AF30" s="55">
        <f t="shared" si="7"/>
        <v>46.31798882681565</v>
      </c>
      <c r="AG30" s="55">
        <f t="shared" si="7"/>
        <v>146.04046263345199</v>
      </c>
      <c r="AH30" s="55">
        <f t="shared" si="7"/>
        <v>303.0688665710187</v>
      </c>
      <c r="AI30" s="56">
        <f t="shared" si="7"/>
        <v>15.486002047315743</v>
      </c>
      <c r="AJ30" s="55">
        <f t="shared" si="7"/>
        <v>70.24616294349542</v>
      </c>
      <c r="AK30" s="55">
        <f t="shared" si="7"/>
        <v>264.7482593250445</v>
      </c>
      <c r="AL30" s="55">
        <f t="shared" si="7"/>
        <v>226.79662171507601</v>
      </c>
      <c r="AM30" s="55">
        <f t="shared" si="7"/>
        <v>310.91880448318801</v>
      </c>
      <c r="AN30" s="55">
        <f t="shared" si="7"/>
        <v>59.45271942446044</v>
      </c>
      <c r="AO30" s="55">
        <f t="shared" si="7"/>
        <v>178.40970873786407</v>
      </c>
      <c r="AP30" s="55">
        <f t="shared" si="7"/>
        <v>305.00549469964659</v>
      </c>
      <c r="AQ30" s="55">
        <f t="shared" si="7"/>
        <v>416.98091040462413</v>
      </c>
      <c r="AR30" s="55">
        <f t="shared" si="7"/>
        <v>416.28746298124395</v>
      </c>
      <c r="AS30" s="55">
        <f t="shared" si="7"/>
        <v>462.22690909090926</v>
      </c>
      <c r="AT30" s="55">
        <f t="shared" si="7"/>
        <v>595.75198891966772</v>
      </c>
      <c r="AU30" s="55">
        <f t="shared" si="7"/>
        <v>141.1625698324022</v>
      </c>
      <c r="AV30" s="55">
        <f t="shared" si="7"/>
        <v>74.357113782739418</v>
      </c>
      <c r="AW30" s="55">
        <f t="shared" si="7"/>
        <v>71.973120036374638</v>
      </c>
      <c r="AX30" s="55">
        <f t="shared" si="7"/>
        <v>35.998902944031038</v>
      </c>
      <c r="AY30" s="55">
        <f t="shared" si="7"/>
        <v>41.047085037491478</v>
      </c>
      <c r="AZ30" s="55">
        <f t="shared" si="7"/>
        <v>288.67375886524832</v>
      </c>
      <c r="BA30" s="55">
        <f t="shared" si="7"/>
        <v>147.67590452790458</v>
      </c>
      <c r="BB30" s="55">
        <f t="shared" si="7"/>
        <v>387.52518844836027</v>
      </c>
      <c r="BC30" s="55">
        <f t="shared" si="7"/>
        <v>146.94528541579609</v>
      </c>
      <c r="BD30" s="55">
        <f t="shared" si="7"/>
        <v>1491.2495006570302</v>
      </c>
      <c r="BE30" s="55">
        <f>(BE25*(BE$18/1000))/(BE$13/1000)</f>
        <v>8491.2100000000119</v>
      </c>
      <c r="BF30" s="55">
        <f t="shared" ref="BF30:CG33" si="8">(BF25*(BF$19/1000))/(BF$16/1000)</f>
        <v>136.40888447971781</v>
      </c>
      <c r="BG30" s="55">
        <f t="shared" si="8"/>
        <v>89.196924248191891</v>
      </c>
      <c r="BH30" s="55">
        <f t="shared" si="8"/>
        <v>88.073842476489048</v>
      </c>
      <c r="BI30" s="55">
        <f t="shared" si="8"/>
        <v>99.088260582010619</v>
      </c>
      <c r="BJ30" s="55">
        <f t="shared" si="8"/>
        <v>525.25206572769957</v>
      </c>
      <c r="BK30" s="55">
        <f t="shared" si="8"/>
        <v>493.39354561101555</v>
      </c>
      <c r="BL30" s="55">
        <f t="shared" si="8"/>
        <v>156.93201478743069</v>
      </c>
      <c r="BM30" s="55">
        <f t="shared" si="8"/>
        <v>479.71437052200633</v>
      </c>
      <c r="BN30" s="55">
        <f t="shared" si="8"/>
        <v>67.96342405645899</v>
      </c>
      <c r="BO30" s="55">
        <f t="shared" si="8"/>
        <v>160.69780322748565</v>
      </c>
      <c r="BP30" s="56">
        <f t="shared" si="8"/>
        <v>70.275648048967071</v>
      </c>
      <c r="BQ30" s="55">
        <f t="shared" si="8"/>
        <v>875.41093749999993</v>
      </c>
      <c r="BR30" s="55">
        <f t="shared" si="8"/>
        <v>30.55112716763005</v>
      </c>
      <c r="BS30" s="55">
        <f t="shared" si="8"/>
        <v>443.25373134328368</v>
      </c>
      <c r="BT30" s="55">
        <f t="shared" si="8"/>
        <v>451.7901882057717</v>
      </c>
      <c r="BU30" s="55">
        <f t="shared" si="8"/>
        <v>570.09159793814445</v>
      </c>
      <c r="BV30" s="55">
        <f t="shared" si="8"/>
        <v>896.63608048993888</v>
      </c>
      <c r="BW30" s="55">
        <f t="shared" si="8"/>
        <v>125.47244117647061</v>
      </c>
      <c r="BX30" s="55">
        <f t="shared" si="8"/>
        <v>514.51450459652722</v>
      </c>
      <c r="BY30" s="55">
        <f t="shared" si="8"/>
        <v>512.39525073746313</v>
      </c>
      <c r="BZ30" s="55">
        <f t="shared" si="8"/>
        <v>702.9806864988559</v>
      </c>
      <c r="CA30" s="55">
        <f t="shared" si="8"/>
        <v>1005.4343718592966</v>
      </c>
      <c r="CB30" s="55">
        <f t="shared" si="8"/>
        <v>222.08979674796745</v>
      </c>
      <c r="CC30" s="55">
        <f t="shared" si="8"/>
        <v>425.77640396964398</v>
      </c>
      <c r="CD30" s="55">
        <f t="shared" si="8"/>
        <v>498.05305054151631</v>
      </c>
      <c r="CE30" s="55">
        <f t="shared" si="8"/>
        <v>238.96375690607744</v>
      </c>
      <c r="CF30" s="55">
        <f t="shared" si="8"/>
        <v>291.61293646250726</v>
      </c>
      <c r="CG30" s="56">
        <f t="shared" si="8"/>
        <v>540.74652767792941</v>
      </c>
    </row>
    <row r="31" spans="1:182" x14ac:dyDescent="0.3">
      <c r="A31" s="30" t="s">
        <v>131</v>
      </c>
      <c r="B31" s="55">
        <f t="shared" si="7"/>
        <v>1.3689213893967012</v>
      </c>
      <c r="C31" s="55">
        <f t="shared" si="7"/>
        <v>17.724467265725238</v>
      </c>
      <c r="D31" s="55">
        <f t="shared" si="7"/>
        <v>1.1995305164319321</v>
      </c>
      <c r="E31" s="55">
        <f t="shared" si="7"/>
        <v>0.26646139270487923</v>
      </c>
      <c r="F31" s="55">
        <f t="shared" si="7"/>
        <v>1.7334831460674112</v>
      </c>
      <c r="G31" s="55">
        <f t="shared" si="7"/>
        <v>6.1052066559312781</v>
      </c>
      <c r="H31" s="55">
        <f t="shared" si="7"/>
        <v>0.45125815470641911</v>
      </c>
      <c r="I31" s="55">
        <f t="shared" si="7"/>
        <v>8.1529411764705575</v>
      </c>
      <c r="J31" s="55">
        <f t="shared" si="7"/>
        <v>0.24363636363635516</v>
      </c>
      <c r="K31" s="55">
        <f t="shared" si="7"/>
        <v>1.4381322957198075</v>
      </c>
      <c r="L31" s="55">
        <f t="shared" si="7"/>
        <v>3.9157894736841827</v>
      </c>
      <c r="M31" s="55">
        <f t="shared" si="7"/>
        <v>1.8443265306122631</v>
      </c>
      <c r="N31" s="55">
        <f t="shared" si="7"/>
        <v>1.1422912423625142</v>
      </c>
      <c r="O31" s="55">
        <f t="shared" si="7"/>
        <v>2.2151507430997941</v>
      </c>
      <c r="P31" s="55">
        <f t="shared" si="7"/>
        <v>3.3816425120776518E-2</v>
      </c>
      <c r="Q31" s="55">
        <f t="shared" si="7"/>
        <v>0.41130253353203788</v>
      </c>
      <c r="R31" s="55">
        <f t="shared" si="7"/>
        <v>4.1796369636963409</v>
      </c>
      <c r="S31" s="55">
        <f t="shared" si="7"/>
        <v>1.1289994008388873</v>
      </c>
      <c r="T31" s="55">
        <f t="shared" si="7"/>
        <v>14.020424403183098</v>
      </c>
      <c r="U31" s="55">
        <f t="shared" si="7"/>
        <v>16.062656137832075</v>
      </c>
      <c r="V31" s="55">
        <f t="shared" si="7"/>
        <v>0.17627296587927904</v>
      </c>
      <c r="W31" s="55">
        <f t="shared" si="7"/>
        <v>0.16778115501519755</v>
      </c>
      <c r="X31" s="55">
        <f t="shared" si="7"/>
        <v>0</v>
      </c>
      <c r="Y31" s="55">
        <f t="shared" si="7"/>
        <v>4.3415328845157912</v>
      </c>
      <c r="Z31" s="55">
        <f t="shared" si="7"/>
        <v>8.409553113553061</v>
      </c>
      <c r="AA31" s="55">
        <f t="shared" si="7"/>
        <v>6.6729981378026393</v>
      </c>
      <c r="AB31" s="55">
        <f t="shared" si="7"/>
        <v>2.4694252873563021</v>
      </c>
      <c r="AC31" s="55">
        <f t="shared" si="7"/>
        <v>10.28591928251122</v>
      </c>
      <c r="AD31" s="55">
        <f t="shared" si="7"/>
        <v>3.6380065573770661</v>
      </c>
      <c r="AE31" s="55">
        <f t="shared" si="7"/>
        <v>4.5265431103947948</v>
      </c>
      <c r="AF31" s="55">
        <f t="shared" si="7"/>
        <v>0.69687150837989376</v>
      </c>
      <c r="AG31" s="55">
        <f t="shared" si="7"/>
        <v>5.8023368920522262</v>
      </c>
      <c r="AH31" s="55">
        <f t="shared" si="7"/>
        <v>0.30925394548063134</v>
      </c>
      <c r="AI31" s="56">
        <f t="shared" si="7"/>
        <v>0.58416947224749549</v>
      </c>
      <c r="AJ31" s="55">
        <f t="shared" si="7"/>
        <v>0.97643889618923985</v>
      </c>
      <c r="AK31" s="55">
        <f t="shared" si="7"/>
        <v>5.4539076376553739</v>
      </c>
      <c r="AL31" s="55">
        <f t="shared" si="7"/>
        <v>2.6491493775933526</v>
      </c>
      <c r="AM31" s="55">
        <f t="shared" si="7"/>
        <v>7.719115815691115</v>
      </c>
      <c r="AN31" s="55">
        <f t="shared" si="7"/>
        <v>0.198351248413037</v>
      </c>
      <c r="AO31" s="55">
        <f t="shared" si="7"/>
        <v>3.1526213592232977</v>
      </c>
      <c r="AP31" s="55">
        <f t="shared" si="7"/>
        <v>5.1659363957597142</v>
      </c>
      <c r="AQ31" s="55">
        <f t="shared" si="7"/>
        <v>12.580534682080915</v>
      </c>
      <c r="AR31" s="55">
        <f t="shared" si="7"/>
        <v>9.8067719644620297</v>
      </c>
      <c r="AS31" s="55">
        <f t="shared" si="7"/>
        <v>14.035711598746145</v>
      </c>
      <c r="AT31" s="55">
        <f t="shared" si="7"/>
        <v>13.552925207756282</v>
      </c>
      <c r="AU31" s="55">
        <f t="shared" si="7"/>
        <v>3.2049293460400881</v>
      </c>
      <c r="AV31" s="55">
        <f t="shared" si="7"/>
        <v>0.52717303563761919</v>
      </c>
      <c r="AW31" s="55">
        <f t="shared" si="7"/>
        <v>2.2676889966656497</v>
      </c>
      <c r="AX31" s="55">
        <f t="shared" si="7"/>
        <v>0</v>
      </c>
      <c r="AY31" s="55">
        <f t="shared" si="7"/>
        <v>0.27360599863666657</v>
      </c>
      <c r="AZ31" s="55">
        <f t="shared" si="7"/>
        <v>8.5650455927051166</v>
      </c>
      <c r="BA31" s="55">
        <f t="shared" si="7"/>
        <v>4.2650080730080999</v>
      </c>
      <c r="BB31" s="55">
        <f t="shared" si="7"/>
        <v>6.6973959862947554</v>
      </c>
      <c r="BC31" s="55">
        <f t="shared" si="7"/>
        <v>2.0983618888424727</v>
      </c>
      <c r="BD31" s="55">
        <f t="shared" si="7"/>
        <v>19.086386333771308</v>
      </c>
      <c r="BE31" s="55">
        <f>(BE26*(BE$18/1000))/(BE$13/1000)</f>
        <v>830.25164444444647</v>
      </c>
      <c r="BF31" s="55">
        <f t="shared" si="8"/>
        <v>3.4410683421516786</v>
      </c>
      <c r="BG31" s="55">
        <f t="shared" si="8"/>
        <v>2.5534465169394691</v>
      </c>
      <c r="BH31" s="55">
        <f t="shared" si="8"/>
        <v>1.7796575235109711</v>
      </c>
      <c r="BI31" s="55">
        <f t="shared" si="8"/>
        <v>2.6018267195767262</v>
      </c>
      <c r="BJ31" s="55">
        <f t="shared" si="8"/>
        <v>8.9492488262910825</v>
      </c>
      <c r="BK31" s="55">
        <f t="shared" si="8"/>
        <v>5.8046299483649628</v>
      </c>
      <c r="BL31" s="55">
        <f t="shared" si="8"/>
        <v>0.14364140480591325</v>
      </c>
      <c r="BM31" s="55">
        <f t="shared" si="8"/>
        <v>11.038792221085037</v>
      </c>
      <c r="BN31" s="55">
        <f t="shared" si="8"/>
        <v>1.3569895673519499</v>
      </c>
      <c r="BO31" s="55">
        <f t="shared" si="8"/>
        <v>1.89227485684538</v>
      </c>
      <c r="BP31" s="56">
        <f t="shared" si="8"/>
        <v>0.35198163733741633</v>
      </c>
      <c r="BQ31" s="55">
        <f t="shared" si="8"/>
        <v>14.552285714285656</v>
      </c>
      <c r="BR31" s="55">
        <f t="shared" si="8"/>
        <v>1.5576156069364162</v>
      </c>
      <c r="BS31" s="55">
        <f t="shared" si="8"/>
        <v>4.6268656716417693</v>
      </c>
      <c r="BT31" s="55">
        <f t="shared" si="8"/>
        <v>0.44380175658720533</v>
      </c>
      <c r="BU31" s="55">
        <f t="shared" si="8"/>
        <v>12.906546391752618</v>
      </c>
      <c r="BV31" s="55">
        <f t="shared" si="8"/>
        <v>24.82169728783914</v>
      </c>
      <c r="BW31" s="55">
        <f t="shared" si="8"/>
        <v>2.6375588235294045</v>
      </c>
      <c r="BX31" s="55">
        <f t="shared" si="8"/>
        <v>3.282865168539296</v>
      </c>
      <c r="BY31" s="55">
        <f t="shared" si="8"/>
        <v>3.8525958702065171</v>
      </c>
      <c r="BZ31" s="55">
        <f t="shared" si="8"/>
        <v>4.449244851258614</v>
      </c>
      <c r="CA31" s="55">
        <f t="shared" si="8"/>
        <v>0.17681742043563725</v>
      </c>
      <c r="CB31" s="55">
        <f t="shared" si="8"/>
        <v>1.6495528455284674</v>
      </c>
      <c r="CC31" s="55">
        <f t="shared" si="8"/>
        <v>3.6110566258027128</v>
      </c>
      <c r="CD31" s="55">
        <f t="shared" si="8"/>
        <v>5.7165342960288585</v>
      </c>
      <c r="CE31" s="55">
        <f t="shared" si="8"/>
        <v>6.7823204419889604</v>
      </c>
      <c r="CF31" s="55">
        <f t="shared" si="8"/>
        <v>3.6057240984544796</v>
      </c>
      <c r="CG31" s="56">
        <f t="shared" si="8"/>
        <v>2.0436376707404893</v>
      </c>
    </row>
    <row r="32" spans="1:182" x14ac:dyDescent="0.3">
      <c r="A32" s="30" t="s">
        <v>132</v>
      </c>
      <c r="B32" s="55">
        <f t="shared" si="7"/>
        <v>279.78647166361975</v>
      </c>
      <c r="C32" s="55">
        <f t="shared" si="7"/>
        <v>408.6217201540436</v>
      </c>
      <c r="D32" s="55">
        <f t="shared" si="7"/>
        <v>61.25273865414713</v>
      </c>
      <c r="E32" s="55">
        <f t="shared" si="7"/>
        <v>248.07555660824255</v>
      </c>
      <c r="F32" s="55">
        <f t="shared" si="7"/>
        <v>88.487471910112376</v>
      </c>
      <c r="G32" s="55">
        <f t="shared" si="7"/>
        <v>206.17176596886742</v>
      </c>
      <c r="H32" s="55">
        <f t="shared" si="7"/>
        <v>184.26374650512579</v>
      </c>
      <c r="I32" s="55">
        <f t="shared" si="7"/>
        <v>433.58823529411774</v>
      </c>
      <c r="J32" s="55">
        <f t="shared" si="7"/>
        <v>230.79391608391614</v>
      </c>
      <c r="K32" s="55">
        <f t="shared" si="7"/>
        <v>472.9058365758753</v>
      </c>
      <c r="L32" s="55">
        <f t="shared" si="7"/>
        <v>228.98822055137848</v>
      </c>
      <c r="M32" s="55">
        <f t="shared" si="7"/>
        <v>207.8754897959183</v>
      </c>
      <c r="N32" s="55">
        <f t="shared" si="7"/>
        <v>126.0875865580448</v>
      </c>
      <c r="O32" s="55">
        <f t="shared" si="7"/>
        <v>73.525204352441634</v>
      </c>
      <c r="P32" s="55">
        <f t="shared" si="7"/>
        <v>45.417874396135261</v>
      </c>
      <c r="Q32" s="55">
        <f t="shared" si="7"/>
        <v>19.900041728763053</v>
      </c>
      <c r="R32" s="55">
        <f t="shared" si="7"/>
        <v>302.82891089108927</v>
      </c>
      <c r="S32" s="55">
        <f t="shared" si="7"/>
        <v>354.81372079089255</v>
      </c>
      <c r="T32" s="55">
        <f t="shared" si="7"/>
        <v>249.04217506631298</v>
      </c>
      <c r="U32" s="55">
        <f t="shared" si="7"/>
        <v>417.27161521895187</v>
      </c>
      <c r="V32" s="55">
        <f t="shared" si="7"/>
        <v>209.55023622047244</v>
      </c>
      <c r="W32" s="55">
        <f t="shared" si="7"/>
        <v>111.64437689969604</v>
      </c>
      <c r="X32" s="55">
        <f t="shared" si="7"/>
        <v>121.76904176904176</v>
      </c>
      <c r="Y32" s="55">
        <f t="shared" si="7"/>
        <v>114.21387881926465</v>
      </c>
      <c r="Z32" s="55">
        <f t="shared" si="7"/>
        <v>288.79331868131868</v>
      </c>
      <c r="AA32" s="55">
        <f t="shared" si="7"/>
        <v>483.35716945996273</v>
      </c>
      <c r="AB32" s="55">
        <f t="shared" si="7"/>
        <v>153.72817733990152</v>
      </c>
      <c r="AC32" s="55">
        <f t="shared" si="7"/>
        <v>248.89112107623316</v>
      </c>
      <c r="AD32" s="55">
        <f t="shared" si="7"/>
        <v>114.79319344262298</v>
      </c>
      <c r="AE32" s="55">
        <f t="shared" si="7"/>
        <v>228.6995004029009</v>
      </c>
      <c r="AF32" s="55">
        <f t="shared" si="7"/>
        <v>45.621117318435758</v>
      </c>
      <c r="AG32" s="55">
        <f t="shared" si="7"/>
        <v>140.23812574139978</v>
      </c>
      <c r="AH32" s="55">
        <f t="shared" si="7"/>
        <v>302.75961262553807</v>
      </c>
      <c r="AI32" s="56">
        <f t="shared" si="7"/>
        <v>14.901832575068248</v>
      </c>
      <c r="AJ32" s="55">
        <f t="shared" si="7"/>
        <v>69.26972404730617</v>
      </c>
      <c r="AK32" s="55">
        <f t="shared" si="7"/>
        <v>259.29435168738911</v>
      </c>
      <c r="AL32" s="55">
        <f t="shared" si="7"/>
        <v>224.14747233748264</v>
      </c>
      <c r="AM32" s="55">
        <f t="shared" si="7"/>
        <v>303.19968866749684</v>
      </c>
      <c r="AN32" s="55">
        <f t="shared" si="7"/>
        <v>59.254368176047407</v>
      </c>
      <c r="AO32" s="55">
        <f t="shared" si="7"/>
        <v>175.25708737864076</v>
      </c>
      <c r="AP32" s="55">
        <f t="shared" si="7"/>
        <v>299.8395583038868</v>
      </c>
      <c r="AQ32" s="55">
        <f t="shared" si="7"/>
        <v>404.40037572254329</v>
      </c>
      <c r="AR32" s="55">
        <f t="shared" si="7"/>
        <v>406.48069101678186</v>
      </c>
      <c r="AS32" s="55">
        <f t="shared" si="7"/>
        <v>448.19119749216316</v>
      </c>
      <c r="AT32" s="55">
        <f t="shared" si="7"/>
        <v>582.19906371191144</v>
      </c>
      <c r="AU32" s="55">
        <f t="shared" si="7"/>
        <v>137.9576404863621</v>
      </c>
      <c r="AV32" s="55">
        <f t="shared" si="7"/>
        <v>73.829940747101801</v>
      </c>
      <c r="AW32" s="55">
        <f t="shared" si="7"/>
        <v>69.705431039708984</v>
      </c>
      <c r="AX32" s="55">
        <f t="shared" si="7"/>
        <v>35.998902944031038</v>
      </c>
      <c r="AY32" s="55">
        <f t="shared" si="7"/>
        <v>40.773479038854816</v>
      </c>
      <c r="AZ32" s="55">
        <f t="shared" si="7"/>
        <v>280.10871327254318</v>
      </c>
      <c r="BA32" s="55">
        <f t="shared" si="7"/>
        <v>143.41089645489646</v>
      </c>
      <c r="BB32" s="55">
        <f t="shared" si="7"/>
        <v>380.82779246206553</v>
      </c>
      <c r="BC32" s="55">
        <f t="shared" si="7"/>
        <v>144.84692352695362</v>
      </c>
      <c r="BD32" s="55">
        <f t="shared" si="7"/>
        <v>1472.1631143232589</v>
      </c>
      <c r="BE32" s="55">
        <f>(BE27*(BE$18/1000))/(BE$13/1000)</f>
        <v>7660.9583555555646</v>
      </c>
      <c r="BF32" s="55">
        <f t="shared" si="8"/>
        <v>132.96781613756613</v>
      </c>
      <c r="BG32" s="55">
        <f t="shared" si="8"/>
        <v>86.643477731252432</v>
      </c>
      <c r="BH32" s="55">
        <f t="shared" si="8"/>
        <v>86.294184952978071</v>
      </c>
      <c r="BI32" s="55">
        <f t="shared" si="8"/>
        <v>96.486433862433884</v>
      </c>
      <c r="BJ32" s="55">
        <f t="shared" si="8"/>
        <v>516.30281690140851</v>
      </c>
      <c r="BK32" s="55">
        <f t="shared" si="8"/>
        <v>487.58891566265055</v>
      </c>
      <c r="BL32" s="55">
        <f t="shared" si="8"/>
        <v>156.7883733826248</v>
      </c>
      <c r="BM32" s="55">
        <f t="shared" si="8"/>
        <v>468.67557830092119</v>
      </c>
      <c r="BN32" s="55">
        <f t="shared" si="8"/>
        <v>66.606434489107045</v>
      </c>
      <c r="BO32" s="55">
        <f t="shared" si="8"/>
        <v>158.80552837064027</v>
      </c>
      <c r="BP32" s="56">
        <f t="shared" si="8"/>
        <v>69.923666411629654</v>
      </c>
      <c r="BQ32" s="55">
        <f t="shared" si="8"/>
        <v>860.85865178571441</v>
      </c>
      <c r="BR32" s="55">
        <f t="shared" si="8"/>
        <v>28.99351156069363</v>
      </c>
      <c r="BS32" s="55">
        <f t="shared" si="8"/>
        <v>438.62686567164189</v>
      </c>
      <c r="BT32" s="55">
        <f t="shared" si="8"/>
        <v>451.34638644918448</v>
      </c>
      <c r="BU32" s="55">
        <f t="shared" si="8"/>
        <v>557.18505154639183</v>
      </c>
      <c r="BV32" s="55">
        <f t="shared" si="8"/>
        <v>871.81438320209975</v>
      </c>
      <c r="BW32" s="55">
        <f t="shared" si="8"/>
        <v>122.83488235294119</v>
      </c>
      <c r="BX32" s="55">
        <f t="shared" si="8"/>
        <v>511.23163942798783</v>
      </c>
      <c r="BY32" s="55">
        <f t="shared" si="8"/>
        <v>508.5426548672566</v>
      </c>
      <c r="BZ32" s="55">
        <f t="shared" si="8"/>
        <v>698.53144164759738</v>
      </c>
      <c r="CA32" s="55">
        <f t="shared" si="8"/>
        <v>1007.7835175879396</v>
      </c>
      <c r="CB32" s="55">
        <f t="shared" si="8"/>
        <v>220.44024390243899</v>
      </c>
      <c r="CC32" s="55">
        <f t="shared" si="8"/>
        <v>422.16534734384129</v>
      </c>
      <c r="CD32" s="55">
        <f t="shared" si="8"/>
        <v>492.33651624548747</v>
      </c>
      <c r="CE32" s="55">
        <f t="shared" si="8"/>
        <v>232.18143646408848</v>
      </c>
      <c r="CF32" s="55">
        <f t="shared" si="8"/>
        <v>288.00721236405275</v>
      </c>
      <c r="CG32" s="56">
        <f t="shared" si="8"/>
        <v>538.70289000718901</v>
      </c>
    </row>
    <row r="33" spans="1:182" x14ac:dyDescent="0.3">
      <c r="A33" s="30" t="s">
        <v>133</v>
      </c>
      <c r="B33" s="55">
        <f t="shared" si="7"/>
        <v>60.211480804387556</v>
      </c>
      <c r="C33" s="55">
        <f t="shared" si="7"/>
        <v>16.092559691912705</v>
      </c>
      <c r="D33" s="55">
        <f t="shared" si="7"/>
        <v>2.2900625978090781</v>
      </c>
      <c r="E33" s="55">
        <f t="shared" si="7"/>
        <v>21.334675509237329</v>
      </c>
      <c r="F33" s="55">
        <f t="shared" si="7"/>
        <v>21.173014044943816</v>
      </c>
      <c r="G33" s="55">
        <f t="shared" si="7"/>
        <v>11.951207729468598</v>
      </c>
      <c r="H33" s="55">
        <f t="shared" si="7"/>
        <v>104.31584342963653</v>
      </c>
      <c r="I33" s="55">
        <f t="shared" si="7"/>
        <v>38.657647058823535</v>
      </c>
      <c r="J33" s="55">
        <f t="shared" si="7"/>
        <v>20.406888111888115</v>
      </c>
      <c r="K33" s="55">
        <f t="shared" si="7"/>
        <v>48.524980544747066</v>
      </c>
      <c r="L33" s="55">
        <f t="shared" si="7"/>
        <v>19.595263157894738</v>
      </c>
      <c r="M33" s="55">
        <f t="shared" si="7"/>
        <v>11.812730612244895</v>
      </c>
      <c r="N33" s="55">
        <f t="shared" si="7"/>
        <v>9.5911374745417515</v>
      </c>
      <c r="O33" s="55">
        <f t="shared" si="7"/>
        <v>6.5584284501061587</v>
      </c>
      <c r="P33" s="55">
        <f t="shared" si="7"/>
        <v>5.3589371980676335</v>
      </c>
      <c r="Q33" s="55">
        <f t="shared" si="7"/>
        <v>0.11660864381520128</v>
      </c>
      <c r="R33" s="55">
        <f t="shared" si="7"/>
        <v>12.17885148514852</v>
      </c>
      <c r="S33" s="55">
        <f t="shared" si="7"/>
        <v>33.777609346914304</v>
      </c>
      <c r="T33" s="55">
        <f t="shared" si="7"/>
        <v>24.040265251989393</v>
      </c>
      <c r="U33" s="55">
        <f t="shared" si="7"/>
        <v>28.698314429289304</v>
      </c>
      <c r="V33" s="55">
        <f t="shared" si="7"/>
        <v>30.996962379702538</v>
      </c>
      <c r="W33" s="55">
        <f t="shared" si="7"/>
        <v>123.780547112462</v>
      </c>
      <c r="X33" s="55">
        <f t="shared" si="7"/>
        <v>42.051597051597057</v>
      </c>
      <c r="Y33" s="55">
        <f t="shared" si="7"/>
        <v>11.170067322630763</v>
      </c>
      <c r="Z33" s="55">
        <f t="shared" si="7"/>
        <v>18.098356043956041</v>
      </c>
      <c r="AA33" s="55">
        <f t="shared" si="7"/>
        <v>43.954748603351945</v>
      </c>
      <c r="AB33" s="55">
        <f t="shared" si="7"/>
        <v>10.226604269293928</v>
      </c>
      <c r="AC33" s="55">
        <f t="shared" si="7"/>
        <v>13.737327354260092</v>
      </c>
      <c r="AD33" s="55">
        <f t="shared" si="7"/>
        <v>5.0533993442622975</v>
      </c>
      <c r="AE33" s="55">
        <f t="shared" si="7"/>
        <v>10.471721192586624</v>
      </c>
      <c r="AF33" s="55">
        <f t="shared" si="7"/>
        <v>2.5297541899441356</v>
      </c>
      <c r="AG33" s="55">
        <f t="shared" si="7"/>
        <v>10.415851720047453</v>
      </c>
      <c r="AH33" s="55">
        <f t="shared" si="7"/>
        <v>116.89799139167864</v>
      </c>
      <c r="AI33" s="56">
        <f t="shared" si="7"/>
        <v>2.7742538898999092</v>
      </c>
      <c r="AJ33" s="55">
        <f t="shared" si="7"/>
        <v>15.63450985545335</v>
      </c>
      <c r="AK33" s="55">
        <f t="shared" si="7"/>
        <v>15.308339609236242</v>
      </c>
      <c r="AL33" s="55">
        <f t="shared" si="7"/>
        <v>11.879963208852002</v>
      </c>
      <c r="AM33" s="55">
        <f t="shared" si="7"/>
        <v>22.906027397260271</v>
      </c>
      <c r="AN33" s="55">
        <f t="shared" si="7"/>
        <v>21.933149386373255</v>
      </c>
      <c r="AO33" s="55">
        <f t="shared" si="7"/>
        <v>13.220947572815533</v>
      </c>
      <c r="AP33" s="55">
        <f t="shared" si="7"/>
        <v>21.589309187279142</v>
      </c>
      <c r="AQ33" s="55">
        <f t="shared" si="7"/>
        <v>21.368676300578027</v>
      </c>
      <c r="AR33" s="55">
        <f t="shared" si="7"/>
        <v>37.085609081934848</v>
      </c>
      <c r="AS33" s="55">
        <f t="shared" si="7"/>
        <v>31.78256050156741</v>
      </c>
      <c r="AT33" s="55">
        <f t="shared" si="7"/>
        <v>40.860627700831031</v>
      </c>
      <c r="AU33" s="55">
        <f t="shared" si="7"/>
        <v>11.220166283273084</v>
      </c>
      <c r="AV33" s="55">
        <f t="shared" si="7"/>
        <v>12.554432975525982</v>
      </c>
      <c r="AW33" s="55">
        <f t="shared" si="7"/>
        <v>5.3758792361321603</v>
      </c>
      <c r="AX33" s="55">
        <f t="shared" si="7"/>
        <v>3.9324387576835953</v>
      </c>
      <c r="AY33" s="55">
        <f t="shared" si="7"/>
        <v>4.6852844239945473</v>
      </c>
      <c r="AZ33" s="55">
        <f t="shared" si="7"/>
        <v>20.000967578520772</v>
      </c>
      <c r="BA33" s="55">
        <f t="shared" si="7"/>
        <v>9.6969697437697455</v>
      </c>
      <c r="BB33" s="55">
        <f t="shared" si="7"/>
        <v>27.112906510034261</v>
      </c>
      <c r="BC33" s="55">
        <f t="shared" si="7"/>
        <v>9.7079213957375696</v>
      </c>
      <c r="BD33" s="55">
        <f t="shared" si="7"/>
        <v>240.4633541392904</v>
      </c>
      <c r="BE33" s="55">
        <f>(BE28*(BE$18/1000))/(BE$13/1000)</f>
        <v>1740.5093564444467</v>
      </c>
      <c r="BF33" s="55">
        <f t="shared" si="8"/>
        <v>87.315395502645515</v>
      </c>
      <c r="BG33" s="55">
        <f t="shared" si="8"/>
        <v>11.143101636848121</v>
      </c>
      <c r="BH33" s="55">
        <f t="shared" si="8"/>
        <v>7.0200447492163018</v>
      </c>
      <c r="BI33" s="55">
        <f t="shared" si="8"/>
        <v>7.6328355820105838</v>
      </c>
      <c r="BJ33" s="55">
        <f t="shared" si="8"/>
        <v>32.871279342723014</v>
      </c>
      <c r="BK33" s="55">
        <f t="shared" si="8"/>
        <v>24.748831325301207</v>
      </c>
      <c r="BL33" s="55">
        <f t="shared" si="8"/>
        <v>11.232984658040666</v>
      </c>
      <c r="BM33" s="55">
        <f t="shared" si="8"/>
        <v>26.934653019447289</v>
      </c>
      <c r="BN33" s="55">
        <f t="shared" si="8"/>
        <v>4.5837243019331053</v>
      </c>
      <c r="BO33" s="55">
        <f t="shared" si="8"/>
        <v>26.972194690265486</v>
      </c>
      <c r="BP33" s="56">
        <f t="shared" si="8"/>
        <v>5.4456587605202733</v>
      </c>
      <c r="BQ33" s="55">
        <f t="shared" si="8"/>
        <v>161.75775089285713</v>
      </c>
      <c r="BR33" s="55">
        <f t="shared" si="8"/>
        <v>1.5375761078998067</v>
      </c>
      <c r="BS33" s="55">
        <f t="shared" si="8"/>
        <v>82.234825870646787</v>
      </c>
      <c r="BT33" s="55">
        <f t="shared" si="8"/>
        <v>69.210883939774178</v>
      </c>
      <c r="BU33" s="55">
        <f t="shared" si="8"/>
        <v>68.845407216494863</v>
      </c>
      <c r="BV33" s="55">
        <f t="shared" si="8"/>
        <v>265.66853543307093</v>
      </c>
      <c r="BW33" s="55">
        <f t="shared" si="8"/>
        <v>10.976176470588236</v>
      </c>
      <c r="BX33" s="55">
        <f t="shared" si="8"/>
        <v>173.42481358529113</v>
      </c>
      <c r="BY33" s="55">
        <f t="shared" si="8"/>
        <v>90.325861356932151</v>
      </c>
      <c r="BZ33" s="55">
        <f t="shared" si="8"/>
        <v>128.69440732265448</v>
      </c>
      <c r="CA33" s="55">
        <f t="shared" si="8"/>
        <v>228.33696482412063</v>
      </c>
      <c r="CB33" s="55">
        <f t="shared" si="8"/>
        <v>83.002499999999998</v>
      </c>
      <c r="CC33" s="55">
        <f t="shared" si="8"/>
        <v>67.723725627554018</v>
      </c>
      <c r="CD33" s="55">
        <f t="shared" si="8"/>
        <v>35.635445667870037</v>
      </c>
      <c r="CE33" s="55">
        <f t="shared" si="8"/>
        <v>56.609767955801118</v>
      </c>
      <c r="CF33" s="55">
        <f t="shared" si="8"/>
        <v>69.545403548941067</v>
      </c>
      <c r="CG33" s="56">
        <f t="shared" si="8"/>
        <v>136.14714162473038</v>
      </c>
    </row>
    <row r="34" spans="1:182" x14ac:dyDescent="0.3">
      <c r="A34" s="30"/>
      <c r="B34" s="31"/>
      <c r="E34" s="31"/>
      <c r="H34" s="31"/>
      <c r="I34" s="31"/>
      <c r="J34" s="31"/>
      <c r="K34" s="31"/>
      <c r="O34" s="31"/>
      <c r="S34" s="31"/>
      <c r="V34" s="31"/>
      <c r="W34" s="31"/>
      <c r="X34" s="31"/>
      <c r="AA34" s="31"/>
      <c r="AH34" s="31"/>
      <c r="AI34" s="32"/>
      <c r="AJ34" s="11"/>
      <c r="AK34" s="11"/>
      <c r="AO34" s="31"/>
      <c r="AQ34" s="11"/>
      <c r="AS34" s="11"/>
      <c r="AT34" s="11"/>
      <c r="AU34" s="31"/>
      <c r="AX34" s="11"/>
      <c r="AY34" s="31"/>
      <c r="BA34" s="11"/>
      <c r="BB34" s="11"/>
      <c r="BD34" s="11"/>
      <c r="BE34" s="11"/>
      <c r="BH34" s="11"/>
      <c r="BI34" s="11"/>
      <c r="BL34" s="11"/>
      <c r="BM34" s="31"/>
      <c r="BN34" s="11"/>
      <c r="BP34" s="12"/>
      <c r="BR34" s="31"/>
      <c r="BW34" s="31"/>
      <c r="BX34" s="31"/>
      <c r="BY34" s="31"/>
      <c r="CA34" s="31"/>
      <c r="CB34" s="31"/>
      <c r="CC34" s="31"/>
      <c r="CD34" s="31"/>
    </row>
    <row r="35" spans="1:182" s="23" customFormat="1" x14ac:dyDescent="0.3">
      <c r="A35" s="33"/>
      <c r="B35" s="34"/>
      <c r="E35" s="34"/>
      <c r="H35" s="34"/>
      <c r="I35" s="34"/>
      <c r="J35" s="34"/>
      <c r="K35" s="34"/>
      <c r="O35" s="34"/>
      <c r="S35" s="34"/>
      <c r="V35" s="34"/>
      <c r="W35" s="34"/>
      <c r="X35" s="34"/>
      <c r="AA35" s="34"/>
      <c r="AH35" s="34"/>
      <c r="AI35" s="36"/>
      <c r="AJ35" s="35"/>
      <c r="AK35" s="35"/>
      <c r="AO35" s="34"/>
      <c r="AQ35" s="35"/>
      <c r="AS35" s="35"/>
      <c r="AT35" s="35"/>
      <c r="AU35" s="34"/>
      <c r="AX35" s="35"/>
      <c r="AY35" s="34"/>
      <c r="BA35" s="35"/>
      <c r="BB35" s="35"/>
      <c r="BD35" s="35"/>
      <c r="BE35" s="35"/>
      <c r="BH35" s="35"/>
      <c r="BI35" s="35"/>
      <c r="BL35" s="35"/>
      <c r="BM35" s="34"/>
      <c r="BN35" s="35"/>
      <c r="BP35" s="46"/>
      <c r="BR35" s="34"/>
      <c r="BW35" s="34"/>
      <c r="BX35" s="34"/>
      <c r="BY35" s="34"/>
      <c r="CA35" s="34"/>
      <c r="CB35" s="34"/>
      <c r="CC35" s="34"/>
      <c r="CD35" s="34"/>
      <c r="CG35" s="49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</row>
    <row r="36" spans="1:182" s="42" customFormat="1" ht="18" x14ac:dyDescent="0.35">
      <c r="A36" s="26" t="s">
        <v>134</v>
      </c>
      <c r="B36" s="27" t="s">
        <v>10</v>
      </c>
      <c r="C36" s="27" t="s">
        <v>11</v>
      </c>
      <c r="D36" s="27" t="s">
        <v>12</v>
      </c>
      <c r="E36" s="27" t="s">
        <v>13</v>
      </c>
      <c r="F36" s="27" t="s">
        <v>14</v>
      </c>
      <c r="G36" s="27" t="s">
        <v>15</v>
      </c>
      <c r="H36" s="27" t="s">
        <v>16</v>
      </c>
      <c r="I36" s="27" t="s">
        <v>17</v>
      </c>
      <c r="J36" s="27" t="s">
        <v>18</v>
      </c>
      <c r="K36" s="27" t="s">
        <v>19</v>
      </c>
      <c r="L36" s="27" t="s">
        <v>20</v>
      </c>
      <c r="M36" s="27" t="s">
        <v>21</v>
      </c>
      <c r="N36" s="27" t="s">
        <v>22</v>
      </c>
      <c r="O36" s="27" t="s">
        <v>23</v>
      </c>
      <c r="P36" s="27" t="s">
        <v>24</v>
      </c>
      <c r="Q36" s="27" t="s">
        <v>25</v>
      </c>
      <c r="R36" s="27" t="s">
        <v>26</v>
      </c>
      <c r="S36" s="27" t="s">
        <v>27</v>
      </c>
      <c r="T36" s="27" t="s">
        <v>28</v>
      </c>
      <c r="U36" s="27" t="s">
        <v>29</v>
      </c>
      <c r="V36" s="27" t="s">
        <v>30</v>
      </c>
      <c r="W36" s="27" t="s">
        <v>31</v>
      </c>
      <c r="X36" s="27" t="s">
        <v>32</v>
      </c>
      <c r="Y36" s="27" t="s">
        <v>33</v>
      </c>
      <c r="Z36" s="27" t="s">
        <v>34</v>
      </c>
      <c r="AA36" s="27" t="s">
        <v>35</v>
      </c>
      <c r="AB36" s="27" t="s">
        <v>36</v>
      </c>
      <c r="AC36" s="27" t="s">
        <v>37</v>
      </c>
      <c r="AD36" s="27" t="s">
        <v>38</v>
      </c>
      <c r="AE36" s="27" t="s">
        <v>39</v>
      </c>
      <c r="AF36" s="27" t="s">
        <v>40</v>
      </c>
      <c r="AG36" s="27" t="s">
        <v>41</v>
      </c>
      <c r="AH36" s="27" t="s">
        <v>42</v>
      </c>
      <c r="AI36" s="59" t="s">
        <v>43</v>
      </c>
      <c r="AJ36" s="60" t="s">
        <v>44</v>
      </c>
      <c r="AK36" s="27" t="s">
        <v>45</v>
      </c>
      <c r="AL36" s="61" t="s">
        <v>46</v>
      </c>
      <c r="AM36" s="27" t="s">
        <v>47</v>
      </c>
      <c r="AN36" s="27" t="s">
        <v>48</v>
      </c>
      <c r="AO36" s="27" t="s">
        <v>49</v>
      </c>
      <c r="AP36" s="61" t="s">
        <v>50</v>
      </c>
      <c r="AQ36" s="27" t="s">
        <v>51</v>
      </c>
      <c r="AR36" s="27" t="s">
        <v>52</v>
      </c>
      <c r="AS36" s="27" t="s">
        <v>53</v>
      </c>
      <c r="AT36" s="27" t="s">
        <v>54</v>
      </c>
      <c r="AU36" s="27" t="s">
        <v>55</v>
      </c>
      <c r="AV36" s="62" t="s">
        <v>56</v>
      </c>
      <c r="AW36" s="27" t="s">
        <v>57</v>
      </c>
      <c r="AX36" s="27" t="s">
        <v>58</v>
      </c>
      <c r="AY36" s="63" t="s">
        <v>59</v>
      </c>
      <c r="AZ36" s="61" t="s">
        <v>60</v>
      </c>
      <c r="BA36" s="27" t="s">
        <v>61</v>
      </c>
      <c r="BB36" s="27" t="s">
        <v>62</v>
      </c>
      <c r="BC36" s="27" t="s">
        <v>63</v>
      </c>
      <c r="BD36" s="62" t="s">
        <v>64</v>
      </c>
      <c r="BE36" s="60" t="s">
        <v>65</v>
      </c>
      <c r="BF36" s="27" t="s">
        <v>66</v>
      </c>
      <c r="BG36" s="27" t="s">
        <v>67</v>
      </c>
      <c r="BH36" s="27" t="s">
        <v>68</v>
      </c>
      <c r="BI36" s="27" t="s">
        <v>69</v>
      </c>
      <c r="BJ36" s="27" t="s">
        <v>70</v>
      </c>
      <c r="BK36" s="27" t="s">
        <v>71</v>
      </c>
      <c r="BL36" s="27" t="s">
        <v>72</v>
      </c>
      <c r="BM36" s="27" t="s">
        <v>73</v>
      </c>
      <c r="BN36" s="62" t="s">
        <v>74</v>
      </c>
      <c r="BO36" s="27" t="s">
        <v>75</v>
      </c>
      <c r="BP36" s="64" t="s">
        <v>76</v>
      </c>
      <c r="BQ36" s="27" t="s">
        <v>77</v>
      </c>
      <c r="BR36" s="27" t="s">
        <v>78</v>
      </c>
      <c r="BS36" s="27" t="s">
        <v>79</v>
      </c>
      <c r="BT36" s="27" t="s">
        <v>80</v>
      </c>
      <c r="BU36" s="27" t="s">
        <v>81</v>
      </c>
      <c r="BV36" s="62" t="s">
        <v>82</v>
      </c>
      <c r="BW36" s="27" t="s">
        <v>83</v>
      </c>
      <c r="BX36" s="27" t="s">
        <v>84</v>
      </c>
      <c r="BY36" s="27" t="s">
        <v>85</v>
      </c>
      <c r="BZ36" s="27" t="s">
        <v>86</v>
      </c>
      <c r="CA36" s="27" t="s">
        <v>87</v>
      </c>
      <c r="CB36" s="27" t="s">
        <v>88</v>
      </c>
      <c r="CC36" s="27" t="s">
        <v>89</v>
      </c>
      <c r="CD36" s="27" t="s">
        <v>90</v>
      </c>
      <c r="CE36" s="27" t="s">
        <v>91</v>
      </c>
      <c r="CF36" s="27" t="s">
        <v>92</v>
      </c>
      <c r="CG36" s="64" t="s">
        <v>93</v>
      </c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</row>
    <row r="37" spans="1:182" x14ac:dyDescent="0.3">
      <c r="A37" s="30" t="s">
        <v>135</v>
      </c>
      <c r="B37" s="31">
        <v>1.6575232216647601E-2</v>
      </c>
      <c r="C37" s="31">
        <v>2.89927271266711E-2</v>
      </c>
      <c r="D37" s="31">
        <v>1.6535614552210899E-2</v>
      </c>
      <c r="E37" s="31">
        <v>1.1175599360468001E-2</v>
      </c>
      <c r="F37" s="31">
        <v>6.1307955555175001E-2</v>
      </c>
      <c r="G37" s="31">
        <v>0.21115647213906999</v>
      </c>
      <c r="H37" s="31">
        <v>2.3921775549970499E-2</v>
      </c>
      <c r="I37" s="31">
        <v>9.9113507923048894E-3</v>
      </c>
      <c r="J37" s="31">
        <v>5.6034284063642198E-3</v>
      </c>
      <c r="K37" s="31">
        <v>5.63890311571979E-2</v>
      </c>
      <c r="L37" s="31">
        <v>1.13217545437862E-2</v>
      </c>
      <c r="M37" s="31">
        <v>1.5747688548015799E-2</v>
      </c>
      <c r="N37" s="31">
        <v>2.97630693089827E-2</v>
      </c>
      <c r="O37" s="31">
        <v>1.9371458687234E-2</v>
      </c>
      <c r="P37" s="31">
        <v>3.2896197950388999E-2</v>
      </c>
      <c r="Q37" s="31">
        <v>1.6670335806335201E-2</v>
      </c>
      <c r="R37" s="31">
        <v>6.9129636970300307E-2</v>
      </c>
      <c r="S37" s="31">
        <v>2.8820606372807402E-2</v>
      </c>
      <c r="T37" s="31">
        <v>7.9558638451436396E-3</v>
      </c>
      <c r="U37" s="31">
        <v>8.2309054386670299E-3</v>
      </c>
      <c r="V37" s="31">
        <v>3.6495016263653098E-2</v>
      </c>
      <c r="W37" s="31">
        <v>0.22208452863825301</v>
      </c>
      <c r="X37" s="31">
        <v>5.9485382361829903E-2</v>
      </c>
      <c r="Y37" s="31">
        <v>7.9340452757622706E-2</v>
      </c>
      <c r="Z37" s="31">
        <v>1.3828414652987399E-2</v>
      </c>
      <c r="AA37" s="31">
        <v>1.99059274494509E-2</v>
      </c>
      <c r="AB37" s="31">
        <v>2.9740812359336801E-3</v>
      </c>
      <c r="AC37" s="31">
        <v>4.4464532461337102E-3</v>
      </c>
      <c r="AD37" s="31">
        <v>7.67281309982807E-3</v>
      </c>
      <c r="AE37" s="31">
        <v>1.1462077225898801E-2</v>
      </c>
      <c r="AF37" s="31">
        <v>3.9860939949879902E-2</v>
      </c>
      <c r="AG37" s="31">
        <v>9.2169924415923907E-2</v>
      </c>
      <c r="AH37" s="31">
        <v>3.30178519554266E-2</v>
      </c>
      <c r="AI37" s="32"/>
      <c r="AJ37" s="31"/>
      <c r="AK37" s="31">
        <v>3.72121444056027E-2</v>
      </c>
      <c r="AL37" s="31">
        <v>1.16567550201682E-2</v>
      </c>
      <c r="AM37" s="31">
        <v>3.6260835234147599E-3</v>
      </c>
      <c r="AN37" s="31">
        <v>1.0758016410561601E-2</v>
      </c>
      <c r="AO37" s="31">
        <v>1.2294067677543199E-2</v>
      </c>
      <c r="AP37" s="31">
        <v>3.2961453689160799E-3</v>
      </c>
      <c r="AQ37" s="31">
        <v>4.4152683735555497E-2</v>
      </c>
      <c r="AR37" s="31">
        <v>1.1278489325985601E-2</v>
      </c>
      <c r="AS37" s="31">
        <v>2.1498674515529299E-2</v>
      </c>
      <c r="AT37" s="31">
        <v>2.0574587201066599E-2</v>
      </c>
      <c r="AU37" s="31">
        <v>2.0371886070265698E-2</v>
      </c>
      <c r="AV37" s="31">
        <v>1.12794795432948E-2</v>
      </c>
      <c r="AW37" s="31">
        <v>1.5720960352969299E-2</v>
      </c>
      <c r="AX37" s="31">
        <v>8.3027602548748601E-3</v>
      </c>
      <c r="AY37" s="31">
        <v>2.1583581626701501E-2</v>
      </c>
      <c r="AZ37" s="31">
        <v>1.6675058868957499E-2</v>
      </c>
      <c r="BA37" s="31">
        <v>4.1193737399522496E-3</v>
      </c>
      <c r="BB37" s="31">
        <v>2.15904970554937E-2</v>
      </c>
      <c r="BC37" s="31">
        <v>1.6839145279585899E-2</v>
      </c>
      <c r="BD37" s="31">
        <v>2.0334445020446699E-2</v>
      </c>
      <c r="BE37" s="31"/>
      <c r="BF37" s="31">
        <v>7.5528764645854701E-2</v>
      </c>
      <c r="BG37" s="31">
        <v>5.3124826600161199E-2</v>
      </c>
      <c r="BH37" s="31">
        <v>2.38452449343124E-2</v>
      </c>
      <c r="BI37" s="31">
        <v>8.5043878635192693E-2</v>
      </c>
      <c r="BJ37" s="31">
        <v>5.3316432576669699E-3</v>
      </c>
      <c r="BK37" s="31">
        <v>2.2611632639620901E-2</v>
      </c>
      <c r="BL37" s="31">
        <v>2.4105003180360698E-2</v>
      </c>
      <c r="BM37" s="31">
        <v>3.5105016685656699E-3</v>
      </c>
      <c r="BN37" s="31">
        <v>2.4130634574557001E-2</v>
      </c>
      <c r="BO37" s="31">
        <v>3.3097144572443202E-3</v>
      </c>
      <c r="BP37" s="32">
        <v>3.3313725910770302E-2</v>
      </c>
      <c r="BQ37" s="31">
        <v>4.4520036119252704E-3</v>
      </c>
      <c r="BR37" s="31">
        <v>3.5942356457967901E-3</v>
      </c>
      <c r="BS37" s="31">
        <v>3.6805991166626601E-3</v>
      </c>
      <c r="BT37" s="31">
        <v>3.3220975377336202E-3</v>
      </c>
      <c r="BU37" s="31">
        <v>0.13580221031400699</v>
      </c>
      <c r="BV37" s="31">
        <v>3.4241510715976299E-4</v>
      </c>
      <c r="BW37" s="31">
        <v>1.1063741445276601E-2</v>
      </c>
      <c r="BX37" s="31">
        <v>2.0723593986019698E-2</v>
      </c>
      <c r="BY37" s="31">
        <v>1.45487222206025E-2</v>
      </c>
      <c r="BZ37" s="31" t="s">
        <v>136</v>
      </c>
      <c r="CA37" s="31">
        <v>9.0553039533826808E-3</v>
      </c>
      <c r="CB37" s="31">
        <v>2.3232525713119899E-3</v>
      </c>
      <c r="CC37" s="31">
        <v>0.13457159656468801</v>
      </c>
      <c r="CD37" s="31">
        <v>1.7529775184884401E-3</v>
      </c>
      <c r="CE37" s="31">
        <v>3.9020773638823898E-3</v>
      </c>
      <c r="CF37" s="31">
        <v>1.7063246583491402E-2</v>
      </c>
      <c r="CG37" s="32">
        <v>2.2369942372785102E-3</v>
      </c>
    </row>
    <row r="38" spans="1:182" x14ac:dyDescent="0.3">
      <c r="A38" s="30" t="s">
        <v>137</v>
      </c>
      <c r="B38" s="31" t="s">
        <v>136</v>
      </c>
      <c r="C38" s="31">
        <v>3.48896200166806E-4</v>
      </c>
      <c r="D38" s="31">
        <v>5.5882592741915503E-4</v>
      </c>
      <c r="E38" s="31" t="s">
        <v>136</v>
      </c>
      <c r="F38" s="31">
        <v>3.4003826543536203E-5</v>
      </c>
      <c r="G38" s="31">
        <v>8.1306750088123494E-6</v>
      </c>
      <c r="H38" s="31">
        <v>1.6000713679055799E-3</v>
      </c>
      <c r="I38" s="31" t="s">
        <v>136</v>
      </c>
      <c r="J38" s="31">
        <v>6.5265874638792995E-4</v>
      </c>
      <c r="K38" s="31">
        <v>1.76819743911738E-3</v>
      </c>
      <c r="L38" s="31">
        <v>3.6959206068828298E-4</v>
      </c>
      <c r="M38" s="31">
        <v>6.1575173875710095E-4</v>
      </c>
      <c r="N38" s="31">
        <v>2.4540802853841498E-4</v>
      </c>
      <c r="O38" s="31">
        <v>6.5038758625044803E-4</v>
      </c>
      <c r="P38" s="31">
        <v>7.61361108406329E-5</v>
      </c>
      <c r="Q38" s="31">
        <v>1.5634798028535601E-3</v>
      </c>
      <c r="R38" s="31">
        <v>1.1613073934934801E-3</v>
      </c>
      <c r="S38" s="31" t="s">
        <v>136</v>
      </c>
      <c r="T38" s="31">
        <v>2.8754031283551203E-4</v>
      </c>
      <c r="U38" s="31">
        <v>1.8405214120712E-4</v>
      </c>
      <c r="V38" s="31">
        <v>8.2226898545508605E-4</v>
      </c>
      <c r="W38" s="31" t="s">
        <v>136</v>
      </c>
      <c r="X38" s="31" t="s">
        <v>136</v>
      </c>
      <c r="Y38" s="31">
        <v>5.49959123666703E-4</v>
      </c>
      <c r="Z38" s="31">
        <v>4.5460384430237599E-4</v>
      </c>
      <c r="AA38" s="31">
        <v>8.5381908708603502E-4</v>
      </c>
      <c r="AB38" s="31">
        <v>4.8490485457519601E-4</v>
      </c>
      <c r="AC38" s="31">
        <v>4.1838276250691299E-4</v>
      </c>
      <c r="AD38" s="31">
        <v>4.3538024126817798E-4</v>
      </c>
      <c r="AE38" s="31">
        <v>6.3792207402110898E-4</v>
      </c>
      <c r="AF38" s="31">
        <v>1.7740259270659402E-5</v>
      </c>
      <c r="AG38" s="31">
        <v>2.187965310048E-4</v>
      </c>
      <c r="AH38" s="31" t="s">
        <v>136</v>
      </c>
      <c r="AI38" s="32"/>
      <c r="AJ38" s="31"/>
      <c r="AK38" s="31">
        <v>3.4979499973442898E-4</v>
      </c>
      <c r="AL38" s="31">
        <v>2.37765937864882E-3</v>
      </c>
      <c r="AM38" s="31">
        <v>7.7835610419687196E-4</v>
      </c>
      <c r="AN38" s="31">
        <v>1.57873110592663E-3</v>
      </c>
      <c r="AO38" s="31">
        <v>4.5504056050534503E-4</v>
      </c>
      <c r="AP38" s="31">
        <v>1.8846654610860101E-3</v>
      </c>
      <c r="AQ38" s="31">
        <v>2.6196923721799999E-4</v>
      </c>
      <c r="AR38" s="31">
        <v>1.1668312322327601E-3</v>
      </c>
      <c r="AS38" s="31">
        <v>7.6093630594238496E-4</v>
      </c>
      <c r="AT38" s="31">
        <v>1.4158185181049101E-4</v>
      </c>
      <c r="AU38" s="31">
        <v>4.1566545720181998E-4</v>
      </c>
      <c r="AV38" s="31">
        <v>8.1166948109345804E-4</v>
      </c>
      <c r="AW38" s="31">
        <v>2.9301145397710399E-4</v>
      </c>
      <c r="AX38" s="31">
        <v>1.61268267882185E-4</v>
      </c>
      <c r="AY38" s="31">
        <v>4.2135630315830903E-3</v>
      </c>
      <c r="AZ38" s="31">
        <v>7.4276702484252905E-4</v>
      </c>
      <c r="BA38" s="31">
        <v>1.1001590552368399E-3</v>
      </c>
      <c r="BB38" s="31">
        <v>2.4682968374154499E-4</v>
      </c>
      <c r="BC38" s="31">
        <v>1.3750352955161501E-3</v>
      </c>
      <c r="BD38" s="31">
        <v>3.3010858366273502E-4</v>
      </c>
      <c r="BE38" s="31"/>
      <c r="BF38" s="31">
        <v>4.5958515194044703E-4</v>
      </c>
      <c r="BG38" s="31">
        <v>8.2378157810665E-4</v>
      </c>
      <c r="BH38" s="31">
        <v>1.5369849114395701E-4</v>
      </c>
      <c r="BI38" s="31">
        <v>3.2556626338777102E-4</v>
      </c>
      <c r="BJ38" s="31">
        <v>1.02822914252264E-3</v>
      </c>
      <c r="BK38" s="31">
        <v>1.6044769772451299E-3</v>
      </c>
      <c r="BL38" s="31">
        <v>1.8171098027966101E-4</v>
      </c>
      <c r="BM38" s="31">
        <v>3.20263104466751E-4</v>
      </c>
      <c r="BN38" s="31">
        <v>4.6336663356935398E-4</v>
      </c>
      <c r="BO38" s="31">
        <v>2.4889871062679101E-3</v>
      </c>
      <c r="BP38" s="32">
        <v>6.48116426112966E-4</v>
      </c>
      <c r="BQ38" s="31" t="s">
        <v>136</v>
      </c>
      <c r="BR38" s="31" t="s">
        <v>136</v>
      </c>
      <c r="BS38" s="31" t="s">
        <v>136</v>
      </c>
      <c r="BT38" s="31" t="s">
        <v>136</v>
      </c>
      <c r="BU38" s="31" t="s">
        <v>136</v>
      </c>
      <c r="BV38" s="31" t="s">
        <v>136</v>
      </c>
      <c r="BW38" s="31" t="s">
        <v>136</v>
      </c>
      <c r="BX38" s="31" t="s">
        <v>136</v>
      </c>
      <c r="BY38" s="31" t="s">
        <v>136</v>
      </c>
      <c r="BZ38" s="31" t="s">
        <v>136</v>
      </c>
      <c r="CA38" s="31" t="s">
        <v>136</v>
      </c>
      <c r="CB38" s="31" t="s">
        <v>136</v>
      </c>
      <c r="CC38" s="31" t="s">
        <v>136</v>
      </c>
      <c r="CD38" s="31" t="s">
        <v>136</v>
      </c>
      <c r="CE38" s="31" t="s">
        <v>136</v>
      </c>
      <c r="CF38" s="31" t="s">
        <v>136</v>
      </c>
      <c r="CG38" s="32" t="s">
        <v>136</v>
      </c>
    </row>
    <row r="39" spans="1:182" x14ac:dyDescent="0.3">
      <c r="A39" s="30" t="s">
        <v>138</v>
      </c>
      <c r="B39" s="31">
        <v>0.321115079209077</v>
      </c>
      <c r="C39" s="31">
        <v>0.163076294273865</v>
      </c>
      <c r="D39" s="31">
        <v>6.6018051992237606E-2</v>
      </c>
      <c r="E39" s="31">
        <v>0.100086121157937</v>
      </c>
      <c r="F39" s="31">
        <v>0.47418984714606199</v>
      </c>
      <c r="G39" s="31">
        <v>1.53955756951703</v>
      </c>
      <c r="H39" s="31">
        <v>0.16888046992286401</v>
      </c>
      <c r="I39" s="31">
        <v>6.1415729650368102E-2</v>
      </c>
      <c r="J39" s="31">
        <v>9.7617370582549594E-3</v>
      </c>
      <c r="K39" s="31">
        <v>0.13351661866933101</v>
      </c>
      <c r="L39" s="31">
        <v>0.10472086677041501</v>
      </c>
      <c r="M39" s="31">
        <v>0.148507738412613</v>
      </c>
      <c r="N39" s="31">
        <v>0.57252142116031102</v>
      </c>
      <c r="O39" s="31">
        <v>0.128985097376841</v>
      </c>
      <c r="P39" s="31">
        <v>0.114615302854471</v>
      </c>
      <c r="Q39" s="31">
        <v>9.1486247616588703E-2</v>
      </c>
      <c r="R39" s="31">
        <v>0.36962620280969199</v>
      </c>
      <c r="S39" s="31">
        <v>4.6519016937933602E-2</v>
      </c>
      <c r="T39" s="31">
        <v>0.174353267878671</v>
      </c>
      <c r="U39" s="31">
        <v>0.11727023360937799</v>
      </c>
      <c r="V39" s="31">
        <v>0.481899601651608</v>
      </c>
      <c r="W39" s="31">
        <v>1.12783226132564</v>
      </c>
      <c r="X39" s="31">
        <v>0.45133104906844301</v>
      </c>
      <c r="Y39" s="31">
        <v>1.8278496025638999</v>
      </c>
      <c r="Z39" s="31">
        <v>3.5237203303966097E-2</v>
      </c>
      <c r="AA39" s="31">
        <v>4.7566733895209698E-2</v>
      </c>
      <c r="AB39" s="31">
        <v>0.10176433804221199</v>
      </c>
      <c r="AC39" s="31">
        <v>0.13058146009447599</v>
      </c>
      <c r="AD39" s="31">
        <v>0.120127429936355</v>
      </c>
      <c r="AE39" s="31">
        <v>0.221030729155446</v>
      </c>
      <c r="AF39" s="31">
        <v>3.1270494317081998</v>
      </c>
      <c r="AG39" s="31">
        <v>3.7080872571821</v>
      </c>
      <c r="AH39" s="31">
        <v>0.58899380423227399</v>
      </c>
      <c r="AI39" s="32"/>
      <c r="AJ39" s="31"/>
      <c r="AK39" s="31">
        <v>0.24031949926811999</v>
      </c>
      <c r="AL39" s="31">
        <v>6.4083551462618696E-2</v>
      </c>
      <c r="AM39" s="31">
        <v>8.3691157679289599E-2</v>
      </c>
      <c r="AN39" s="31">
        <v>9.5158312945757398E-2</v>
      </c>
      <c r="AO39" s="31">
        <v>0.15832183397212701</v>
      </c>
      <c r="AP39" s="31">
        <v>3.5607993730667503E-2</v>
      </c>
      <c r="AQ39" s="31">
        <v>0.86231888030418502</v>
      </c>
      <c r="AR39" s="31">
        <v>0.12653557737056001</v>
      </c>
      <c r="AS39" s="31">
        <v>5.75094783452922E-2</v>
      </c>
      <c r="AT39" s="31">
        <v>0.12332629850309999</v>
      </c>
      <c r="AU39" s="31">
        <v>4.23085149255569E-2</v>
      </c>
      <c r="AV39" s="31">
        <v>0.239897187732282</v>
      </c>
      <c r="AW39" s="31">
        <v>0.37270020516640501</v>
      </c>
      <c r="AX39" s="31">
        <v>5.1847528872589498E-2</v>
      </c>
      <c r="AY39" s="31">
        <v>9.6814275838536301E-2</v>
      </c>
      <c r="AZ39" s="31">
        <v>0.101826813149275</v>
      </c>
      <c r="BA39" s="31">
        <v>4.0273960106572297E-2</v>
      </c>
      <c r="BB39" s="31">
        <v>6.4810193691440504E-2</v>
      </c>
      <c r="BC39" s="31">
        <v>0.103727785601702</v>
      </c>
      <c r="BD39" s="31">
        <v>9.2892810134606901E-2</v>
      </c>
      <c r="BE39" s="31"/>
      <c r="BF39" s="31">
        <v>1.06050552063694</v>
      </c>
      <c r="BG39" s="31">
        <v>0.86454331425002295</v>
      </c>
      <c r="BH39" s="31">
        <v>9.9195325856803296E-2</v>
      </c>
      <c r="BI39" s="31">
        <v>0.61219059200389203</v>
      </c>
      <c r="BJ39" s="31">
        <v>0.120636716993233</v>
      </c>
      <c r="BK39" s="31">
        <v>0.15925120512645199</v>
      </c>
      <c r="BL39" s="31">
        <v>2.7427630144578202E-2</v>
      </c>
      <c r="BM39" s="31">
        <v>2.7936522563423499E-3</v>
      </c>
      <c r="BN39" s="31">
        <v>0.104033085709752</v>
      </c>
      <c r="BO39" s="31">
        <v>4.9239358032049298E-2</v>
      </c>
      <c r="BP39" s="32">
        <v>1.05849948277779</v>
      </c>
      <c r="BQ39" s="31">
        <v>0.110864417349997</v>
      </c>
      <c r="BR39" s="31">
        <v>0.12377510738405199</v>
      </c>
      <c r="BS39" s="31">
        <v>1.8729119255193501E-2</v>
      </c>
      <c r="BT39" s="31">
        <v>8.6459246662324907E-2</v>
      </c>
      <c r="BU39" s="31">
        <v>0.74656194629716799</v>
      </c>
      <c r="BV39" s="31">
        <v>6.48913468598908E-2</v>
      </c>
      <c r="BW39" s="31">
        <v>8.4019461198989703E-2</v>
      </c>
      <c r="BX39" s="31">
        <v>0.40935652030931502</v>
      </c>
      <c r="BY39" s="31">
        <v>0.16247969052989</v>
      </c>
      <c r="BZ39" s="31">
        <v>5.7651886428172698E-2</v>
      </c>
      <c r="CA39" s="31">
        <v>3.6407589492180002E-2</v>
      </c>
      <c r="CB39" s="31">
        <v>7.8567773814692599E-2</v>
      </c>
      <c r="CC39" s="31">
        <v>0.73692743486814305</v>
      </c>
      <c r="CD39" s="31">
        <v>1.37040300389751E-2</v>
      </c>
      <c r="CE39" s="31">
        <v>0.109079941323605</v>
      </c>
      <c r="CF39" s="31">
        <v>0.15567910247470601</v>
      </c>
      <c r="CG39" s="32">
        <v>0.121825699521625</v>
      </c>
    </row>
    <row r="40" spans="1:182" x14ac:dyDescent="0.3">
      <c r="A40" s="30" t="s">
        <v>139</v>
      </c>
      <c r="B40" s="31">
        <v>39.788188420050197</v>
      </c>
      <c r="C40" s="31">
        <v>130.74605629213301</v>
      </c>
      <c r="D40" s="31">
        <v>6.5677167012493696</v>
      </c>
      <c r="E40" s="31">
        <v>45.391380300832097</v>
      </c>
      <c r="F40" s="31">
        <v>37.600416184483201</v>
      </c>
      <c r="G40" s="31">
        <v>43.008896201424101</v>
      </c>
      <c r="H40" s="31">
        <v>12.8060121149158</v>
      </c>
      <c r="I40" s="31">
        <v>29.904498364036701</v>
      </c>
      <c r="J40" s="31" t="s">
        <v>136</v>
      </c>
      <c r="K40" s="31">
        <v>44.334564979936502</v>
      </c>
      <c r="L40" s="31">
        <v>14.7672593523667</v>
      </c>
      <c r="M40" s="31">
        <v>10.666324659117</v>
      </c>
      <c r="N40" s="31">
        <v>38.2893129524195</v>
      </c>
      <c r="O40" s="31">
        <v>9.8989952044242493</v>
      </c>
      <c r="P40" s="31">
        <v>205.43392482925199</v>
      </c>
      <c r="Q40" s="31">
        <v>9.5587481946944202</v>
      </c>
      <c r="R40" s="31">
        <v>28.344078504935201</v>
      </c>
      <c r="S40" s="31">
        <v>70.917824141980702</v>
      </c>
      <c r="T40" s="31">
        <v>13.6885919957412</v>
      </c>
      <c r="U40" s="31">
        <v>15.721035689967501</v>
      </c>
      <c r="V40" s="31">
        <v>84.427964628543506</v>
      </c>
      <c r="W40" s="31">
        <v>4013.7081514915199</v>
      </c>
      <c r="X40" s="31">
        <v>1119.05825390988</v>
      </c>
      <c r="Y40" s="31">
        <v>556.63256379704501</v>
      </c>
      <c r="Z40" s="31">
        <v>8.3384972163454592</v>
      </c>
      <c r="AA40" s="31">
        <v>9.9535190864132108</v>
      </c>
      <c r="AB40" s="31">
        <v>16.038952410219199</v>
      </c>
      <c r="AC40" s="31">
        <v>5.9344545994418203</v>
      </c>
      <c r="AD40" s="31">
        <v>101.13419723802301</v>
      </c>
      <c r="AE40" s="31">
        <v>27.486275567510798</v>
      </c>
      <c r="AF40" s="31">
        <v>243.926211685629</v>
      </c>
      <c r="AG40" s="31">
        <v>579.04720292873003</v>
      </c>
      <c r="AH40" s="31">
        <v>58.306903334103197</v>
      </c>
      <c r="AI40" s="32"/>
      <c r="AJ40" s="31"/>
      <c r="AK40" s="31">
        <v>16.690938946977599</v>
      </c>
      <c r="AL40" s="31">
        <v>9.1123751915085194</v>
      </c>
      <c r="AM40" s="31">
        <v>10.273973256050599</v>
      </c>
      <c r="AN40" s="31">
        <v>59.863234339826697</v>
      </c>
      <c r="AO40" s="31">
        <v>6.6117723650242999</v>
      </c>
      <c r="AP40" s="31">
        <v>15.864015439157599</v>
      </c>
      <c r="AQ40" s="31">
        <v>585.911109063867</v>
      </c>
      <c r="AR40" s="31">
        <v>21.227343481281</v>
      </c>
      <c r="AS40" s="31">
        <v>15.9514711200998</v>
      </c>
      <c r="AT40" s="31">
        <v>7.5420331592310799</v>
      </c>
      <c r="AU40" s="31">
        <v>13.638758260985099</v>
      </c>
      <c r="AV40" s="31">
        <v>69.052473446349893</v>
      </c>
      <c r="AW40" s="31">
        <v>56.9336065971344</v>
      </c>
      <c r="AX40" s="31">
        <v>10.6644911186696</v>
      </c>
      <c r="AY40" s="31">
        <v>53.514316641519599</v>
      </c>
      <c r="AZ40" s="31">
        <v>15.6448064005821</v>
      </c>
      <c r="BA40" s="31">
        <v>6.5162658119599898E-2</v>
      </c>
      <c r="BB40" s="31">
        <v>54.283580948666298</v>
      </c>
      <c r="BC40" s="31">
        <v>78.494717116869793</v>
      </c>
      <c r="BD40" s="31">
        <v>6.4615096827663203</v>
      </c>
      <c r="BE40" s="31"/>
      <c r="BF40" s="31">
        <v>189.26753089407799</v>
      </c>
      <c r="BG40" s="31">
        <v>516.32066187809403</v>
      </c>
      <c r="BH40" s="31">
        <v>11.6490624719852</v>
      </c>
      <c r="BI40" s="31">
        <v>92.685909618775199</v>
      </c>
      <c r="BJ40" s="31">
        <v>17.282683769561402</v>
      </c>
      <c r="BK40" s="31">
        <v>110.900526536524</v>
      </c>
      <c r="BL40" s="31">
        <v>13.306902239010499</v>
      </c>
      <c r="BM40" s="31" t="s">
        <v>136</v>
      </c>
      <c r="BN40" s="31">
        <v>46.006027227173398</v>
      </c>
      <c r="BO40" s="31">
        <v>61.045787501095198</v>
      </c>
      <c r="BP40" s="32">
        <v>390.80747766720498</v>
      </c>
      <c r="BQ40" s="31">
        <v>7.8120369014089102</v>
      </c>
      <c r="BR40" s="31">
        <v>3.8040464468435</v>
      </c>
      <c r="BS40" s="31">
        <v>2.56620433180144</v>
      </c>
      <c r="BT40" s="31">
        <v>4.0142357308024303</v>
      </c>
      <c r="BU40" s="31">
        <v>1119.39999533783</v>
      </c>
      <c r="BV40" s="31">
        <v>12.6564873509733</v>
      </c>
      <c r="BW40" s="31">
        <v>7.5722322975382301</v>
      </c>
      <c r="BX40" s="31">
        <v>9.9952284729994592</v>
      </c>
      <c r="BY40" s="31">
        <v>56.312718987793097</v>
      </c>
      <c r="BZ40" s="31">
        <v>0.18742058109867499</v>
      </c>
      <c r="CA40" s="31">
        <v>1.0467451158621699</v>
      </c>
      <c r="CB40" s="31">
        <v>1.65747201078511</v>
      </c>
      <c r="CC40" s="31">
        <v>69.420829811569504</v>
      </c>
      <c r="CD40" s="31">
        <v>0.34676195051741698</v>
      </c>
      <c r="CE40" s="31">
        <v>0.92819879884261403</v>
      </c>
      <c r="CF40" s="31">
        <v>41.446091514459901</v>
      </c>
      <c r="CG40" s="32">
        <v>0.79642863399091601</v>
      </c>
    </row>
    <row r="41" spans="1:182" x14ac:dyDescent="0.3">
      <c r="A41" s="30" t="s">
        <v>140</v>
      </c>
      <c r="B41" s="31">
        <v>81.674293114136105</v>
      </c>
      <c r="C41" s="31">
        <v>156.90452356575099</v>
      </c>
      <c r="D41" s="31">
        <v>10.4803749771933</v>
      </c>
      <c r="E41" s="31">
        <v>96.728972114617093</v>
      </c>
      <c r="F41" s="31">
        <v>61.688007379105002</v>
      </c>
      <c r="G41" s="31">
        <v>113.137306420097</v>
      </c>
      <c r="H41" s="31">
        <v>71.177039796315</v>
      </c>
      <c r="I41" s="31">
        <v>44.508557362461403</v>
      </c>
      <c r="J41" s="31">
        <v>4.4230642120135701E-2</v>
      </c>
      <c r="K41" s="31">
        <v>70.746201021559102</v>
      </c>
      <c r="L41" s="31">
        <v>30.885668417990701</v>
      </c>
      <c r="M41" s="31">
        <v>26.1304154541339</v>
      </c>
      <c r="N41" s="31">
        <v>32.368161624812203</v>
      </c>
      <c r="O41" s="31">
        <v>44.149839006295998</v>
      </c>
      <c r="P41" s="31">
        <v>69.502542316617706</v>
      </c>
      <c r="Q41" s="31">
        <v>19.274124995856202</v>
      </c>
      <c r="R41" s="31">
        <v>31.628209252641</v>
      </c>
      <c r="S41" s="31">
        <v>115.53340198035001</v>
      </c>
      <c r="T41" s="31">
        <v>14.2137587341361</v>
      </c>
      <c r="U41" s="31">
        <v>19.4336018513151</v>
      </c>
      <c r="V41" s="31">
        <v>30.806389826954799</v>
      </c>
      <c r="W41" s="31">
        <v>2844.2554713112399</v>
      </c>
      <c r="X41" s="31">
        <v>199.54905659132601</v>
      </c>
      <c r="Y41" s="31">
        <v>64.844455667777595</v>
      </c>
      <c r="Z41" s="31">
        <v>20.514497665656702</v>
      </c>
      <c r="AA41" s="31">
        <v>33.618238068103899</v>
      </c>
      <c r="AB41" s="31">
        <v>56.089082889623697</v>
      </c>
      <c r="AC41" s="31">
        <v>16.8400311217286</v>
      </c>
      <c r="AD41" s="31">
        <v>65.593106107667595</v>
      </c>
      <c r="AE41" s="31">
        <v>66.623407733239006</v>
      </c>
      <c r="AF41" s="31">
        <v>35.339115608703999</v>
      </c>
      <c r="AG41" s="31">
        <v>67.215783164478395</v>
      </c>
      <c r="AH41" s="31">
        <v>115.76657012319301</v>
      </c>
      <c r="AI41" s="32"/>
      <c r="AJ41" s="31"/>
      <c r="AK41" s="31">
        <v>44.134844791438503</v>
      </c>
      <c r="AL41" s="31">
        <v>33.390803378374201</v>
      </c>
      <c r="AM41" s="31">
        <v>8.7815522236763499</v>
      </c>
      <c r="AN41" s="31">
        <v>32.597379196087402</v>
      </c>
      <c r="AO41" s="31">
        <v>22.223916261129901</v>
      </c>
      <c r="AP41" s="31">
        <v>33.814395295424198</v>
      </c>
      <c r="AQ41" s="31">
        <v>21.533495829675498</v>
      </c>
      <c r="AR41" s="31">
        <v>37.002771511285097</v>
      </c>
      <c r="AS41" s="31">
        <v>25.444227332215998</v>
      </c>
      <c r="AT41" s="31">
        <v>34.113286196692897</v>
      </c>
      <c r="AU41" s="31">
        <v>18.604683166970801</v>
      </c>
      <c r="AV41" s="31">
        <v>33.857473971426202</v>
      </c>
      <c r="AW41" s="31">
        <v>13.2675315082961</v>
      </c>
      <c r="AX41" s="31">
        <v>23.0672313674709</v>
      </c>
      <c r="AY41" s="31">
        <v>66.173560506704206</v>
      </c>
      <c r="AZ41" s="31">
        <v>34.751551012361197</v>
      </c>
      <c r="BA41" s="31">
        <v>8.4602688250799599E-2</v>
      </c>
      <c r="BB41" s="31">
        <v>15.300357854377699</v>
      </c>
      <c r="BC41" s="31">
        <v>38.5670808699265</v>
      </c>
      <c r="BD41" s="31">
        <v>29.889957920979199</v>
      </c>
      <c r="BE41" s="31"/>
      <c r="BF41" s="31">
        <v>87.952937175961694</v>
      </c>
      <c r="BG41" s="31">
        <v>90.938411840407795</v>
      </c>
      <c r="BH41" s="31">
        <v>21.805857898483499</v>
      </c>
      <c r="BI41" s="31">
        <v>107.40050669851701</v>
      </c>
      <c r="BJ41" s="31">
        <v>86.112131343240094</v>
      </c>
      <c r="BK41" s="31">
        <v>157.89437332492599</v>
      </c>
      <c r="BL41" s="31">
        <v>21.909480169725001</v>
      </c>
      <c r="BM41" s="31">
        <v>4.4873768255337503E-2</v>
      </c>
      <c r="BN41" s="31">
        <v>23.714778653106102</v>
      </c>
      <c r="BO41" s="31">
        <v>31.482527197282501</v>
      </c>
      <c r="BP41" s="32">
        <v>6.1145398228770098</v>
      </c>
      <c r="BQ41" s="31">
        <v>4.16970596566581</v>
      </c>
      <c r="BR41" s="31">
        <v>4.4961459525090302</v>
      </c>
      <c r="BS41" s="31">
        <v>4.1061503400722099</v>
      </c>
      <c r="BT41" s="31">
        <v>2.62303521374024</v>
      </c>
      <c r="BU41" s="31">
        <v>235.650979685137</v>
      </c>
      <c r="BV41" s="31">
        <v>5.2629192386349297</v>
      </c>
      <c r="BW41" s="31">
        <v>6.3131730045108396</v>
      </c>
      <c r="BX41" s="31">
        <v>14.494658952843899</v>
      </c>
      <c r="BY41" s="31">
        <v>38.702926832236798</v>
      </c>
      <c r="BZ41" s="31">
        <v>1.3569302083627599</v>
      </c>
      <c r="CA41" s="31">
        <v>2.07045380841048</v>
      </c>
      <c r="CB41" s="31">
        <v>8.0348575316939694</v>
      </c>
      <c r="CC41" s="31">
        <v>29.315812893565798</v>
      </c>
      <c r="CD41" s="31">
        <v>9.8758217738287704E-2</v>
      </c>
      <c r="CE41" s="31">
        <v>1.30151007209186</v>
      </c>
      <c r="CF41" s="31">
        <v>15.6881143457392</v>
      </c>
      <c r="CG41" s="32">
        <v>0.36326478787157301</v>
      </c>
    </row>
    <row r="42" spans="1:182" x14ac:dyDescent="0.3">
      <c r="A42" s="30" t="s">
        <v>141</v>
      </c>
      <c r="B42" s="31" t="s">
        <v>136</v>
      </c>
      <c r="C42" s="31">
        <v>0.139369872244795</v>
      </c>
      <c r="D42" s="31">
        <v>7.1177998470079898E-2</v>
      </c>
      <c r="E42" s="31" t="s">
        <v>136</v>
      </c>
      <c r="F42" s="31">
        <v>2.8796869537668399E-2</v>
      </c>
      <c r="G42" s="31">
        <v>3.6132597808131703E-2</v>
      </c>
      <c r="H42" s="31" t="s">
        <v>136</v>
      </c>
      <c r="I42" s="31">
        <v>1.0413112209548501</v>
      </c>
      <c r="J42" s="31" t="s">
        <v>136</v>
      </c>
      <c r="K42" s="31">
        <v>0.74812636103347097</v>
      </c>
      <c r="L42" s="31">
        <v>0.25836661535893302</v>
      </c>
      <c r="M42" s="31">
        <v>8.5032834665822302E-2</v>
      </c>
      <c r="N42" s="31">
        <v>3.8034785318770699E-2</v>
      </c>
      <c r="O42" s="31">
        <v>0.123247638367739</v>
      </c>
      <c r="P42" s="31">
        <v>6.8490160248105905E-2</v>
      </c>
      <c r="Q42" s="31">
        <v>2.4449710933663101E-3</v>
      </c>
      <c r="R42" s="31">
        <v>2.7814186755822599</v>
      </c>
      <c r="S42" s="31">
        <v>3.7910528075072003E-2</v>
      </c>
      <c r="T42" s="31">
        <v>0.10214844730975101</v>
      </c>
      <c r="U42" s="31">
        <v>0.18039241223965899</v>
      </c>
      <c r="V42" s="31">
        <v>4.5442609422749199E-2</v>
      </c>
      <c r="W42" s="31" t="s">
        <v>136</v>
      </c>
      <c r="X42" s="31" t="s">
        <v>136</v>
      </c>
      <c r="Y42" s="31">
        <v>4.4826100025777901E-2</v>
      </c>
      <c r="Z42" s="31">
        <v>0.601528088197268</v>
      </c>
      <c r="AA42" s="31">
        <v>0.57373793188814004</v>
      </c>
      <c r="AB42" s="31">
        <v>0.687392213034835</v>
      </c>
      <c r="AC42" s="31">
        <v>1.7858810507179199</v>
      </c>
      <c r="AD42" s="31">
        <v>0.60886381646773102</v>
      </c>
      <c r="AE42" s="31">
        <v>0.52952368949762996</v>
      </c>
      <c r="AF42" s="31">
        <v>5.4335407598243898E-3</v>
      </c>
      <c r="AG42" s="31">
        <v>6.79131470700714E-3</v>
      </c>
      <c r="AH42" s="31" t="s">
        <v>136</v>
      </c>
      <c r="AI42" s="32"/>
      <c r="AJ42" s="31"/>
      <c r="AK42" s="31">
        <v>0.21000665560918699</v>
      </c>
      <c r="AL42" s="31">
        <v>2.7894362149719498</v>
      </c>
      <c r="AM42" s="31">
        <v>0.25362128818248603</v>
      </c>
      <c r="AN42" s="31">
        <v>4.1540859966691601E-2</v>
      </c>
      <c r="AO42" s="31">
        <v>5.3476068511028998E-2</v>
      </c>
      <c r="AP42" s="31">
        <v>0.12967481874047501</v>
      </c>
      <c r="AQ42" s="31">
        <v>0.30617751598885801</v>
      </c>
      <c r="AR42" s="31">
        <v>0.29906183209467102</v>
      </c>
      <c r="AS42" s="31">
        <v>3.22687555031822</v>
      </c>
      <c r="AT42" s="31">
        <v>0.20862964856628699</v>
      </c>
      <c r="AU42" s="31" t="s">
        <v>136</v>
      </c>
      <c r="AV42" s="31">
        <v>0.30136005684927097</v>
      </c>
      <c r="AW42" s="31">
        <v>1.0224091397583099</v>
      </c>
      <c r="AX42" s="31">
        <v>0.13862674152637</v>
      </c>
      <c r="AY42" s="31">
        <v>17.594458940886</v>
      </c>
      <c r="AZ42" s="31">
        <v>0.21735161117601701</v>
      </c>
      <c r="BA42" s="31" t="s">
        <v>136</v>
      </c>
      <c r="BB42" s="31">
        <v>0.117280378347331</v>
      </c>
      <c r="BC42" s="31">
        <v>0.10442808311242199</v>
      </c>
      <c r="BD42" s="31">
        <v>0.50381038631054298</v>
      </c>
      <c r="BE42" s="31"/>
      <c r="BF42" s="31">
        <v>9.8696979799871298E-3</v>
      </c>
      <c r="BG42" s="31">
        <v>4.5673258102434999E-2</v>
      </c>
      <c r="BH42" s="31">
        <v>5.4393843705122E-2</v>
      </c>
      <c r="BI42" s="31">
        <v>0.214137676737887</v>
      </c>
      <c r="BJ42" s="31">
        <v>0.55936160443522298</v>
      </c>
      <c r="BK42" s="31">
        <v>8.7260970733761205</v>
      </c>
      <c r="BL42" s="31">
        <v>0.14206788212657701</v>
      </c>
      <c r="BM42" s="31" t="s">
        <v>136</v>
      </c>
      <c r="BN42" s="31">
        <v>0.82290009734067604</v>
      </c>
      <c r="BO42" s="31">
        <v>0.11131449533396599</v>
      </c>
      <c r="BP42" s="32">
        <v>11.8086161558625</v>
      </c>
      <c r="BQ42" s="31">
        <v>8.3312368613068899E-2</v>
      </c>
      <c r="BR42" s="31">
        <v>7.0689345050802793E-2</v>
      </c>
      <c r="BS42" s="31">
        <v>3.1449463852797503E-2</v>
      </c>
      <c r="BT42" s="31">
        <v>8.8131893263219505E-2</v>
      </c>
      <c r="BU42" s="31">
        <v>3.0754763799654299E-2</v>
      </c>
      <c r="BV42" s="31">
        <v>0.14344764318356301</v>
      </c>
      <c r="BW42" s="31">
        <v>8.5607839353583501E-2</v>
      </c>
      <c r="BX42" s="31">
        <v>1.4000719108687699E-2</v>
      </c>
      <c r="BY42" s="31">
        <v>7.7574380265303805E-2</v>
      </c>
      <c r="BZ42" s="31">
        <v>4.3836330707206203E-2</v>
      </c>
      <c r="CA42" s="31">
        <v>2.84592930591397E-2</v>
      </c>
      <c r="CB42" s="31">
        <v>2.4328271930439099E-2</v>
      </c>
      <c r="CC42" s="31">
        <v>2.1344297668474399E-2</v>
      </c>
      <c r="CD42" s="31">
        <v>4.1310211287005801E-3</v>
      </c>
      <c r="CE42" s="31">
        <v>0.13334867353093299</v>
      </c>
      <c r="CF42" s="31">
        <v>0.11039603163635101</v>
      </c>
      <c r="CG42" s="32">
        <v>2.84592930591397E-2</v>
      </c>
    </row>
    <row r="43" spans="1:182" x14ac:dyDescent="0.3">
      <c r="A43" s="30" t="s">
        <v>142</v>
      </c>
      <c r="B43" s="31" t="s">
        <v>136</v>
      </c>
      <c r="C43" s="31">
        <v>13.9303019534639</v>
      </c>
      <c r="D43" s="31">
        <v>9.2744338198548704</v>
      </c>
      <c r="E43" s="31" t="s">
        <v>136</v>
      </c>
      <c r="F43" s="31">
        <v>7.4015309265953997</v>
      </c>
      <c r="G43" s="31">
        <v>15.757041604331</v>
      </c>
      <c r="H43" s="31" t="s">
        <v>136</v>
      </c>
      <c r="I43" s="31">
        <v>3.3674742411158398</v>
      </c>
      <c r="J43" s="31" t="s">
        <v>136</v>
      </c>
      <c r="K43" s="31">
        <v>7.5647482176066099</v>
      </c>
      <c r="L43" s="31">
        <v>17.2792358883997</v>
      </c>
      <c r="M43" s="31">
        <v>17.6846704560948</v>
      </c>
      <c r="N43" s="31">
        <v>12.695155670677901</v>
      </c>
      <c r="O43" s="31">
        <v>21.924869594707399</v>
      </c>
      <c r="P43" s="31">
        <v>8.5687954580201495</v>
      </c>
      <c r="Q43" s="31">
        <v>3.3986936857645702</v>
      </c>
      <c r="R43" s="31">
        <v>18.171258738943401</v>
      </c>
      <c r="S43" s="31">
        <v>1.8092838789868499</v>
      </c>
      <c r="T43" s="31">
        <v>4.94923394415778</v>
      </c>
      <c r="U43" s="31">
        <v>5.5991696067502703</v>
      </c>
      <c r="V43" s="31">
        <v>9.9606277254598794</v>
      </c>
      <c r="W43" s="31" t="s">
        <v>136</v>
      </c>
      <c r="X43" s="31" t="s">
        <v>136</v>
      </c>
      <c r="Y43" s="31">
        <v>5.70703904407842</v>
      </c>
      <c r="Z43" s="31">
        <v>12.147598272859099</v>
      </c>
      <c r="AA43" s="31" t="s">
        <v>136</v>
      </c>
      <c r="AB43" s="31">
        <v>13.2401919063685</v>
      </c>
      <c r="AC43" s="31">
        <v>14.672598167003301</v>
      </c>
      <c r="AD43" s="31">
        <v>14.3909544429478</v>
      </c>
      <c r="AE43" s="31">
        <v>17.241147124821101</v>
      </c>
      <c r="AF43" s="31">
        <v>8.5248944216964002</v>
      </c>
      <c r="AG43" s="31">
        <v>8.3156309123053198</v>
      </c>
      <c r="AH43" s="31">
        <v>5.5992754197382997</v>
      </c>
      <c r="AI43" s="32"/>
      <c r="AJ43" s="31"/>
      <c r="AK43" s="31">
        <v>17.247436247071398</v>
      </c>
      <c r="AL43" s="31">
        <v>8.1314621853923494</v>
      </c>
      <c r="AM43" s="31">
        <v>0.53371145042033696</v>
      </c>
      <c r="AN43" s="31">
        <v>2.32245875875924</v>
      </c>
      <c r="AO43" s="31">
        <v>14.4532837543884</v>
      </c>
      <c r="AP43" s="31">
        <v>10.772657336995699</v>
      </c>
      <c r="AQ43" s="31">
        <v>6.77537236731406</v>
      </c>
      <c r="AR43" s="31">
        <v>17.222308550901801</v>
      </c>
      <c r="AS43" s="31">
        <v>13.451386011542599</v>
      </c>
      <c r="AT43" s="31">
        <v>23.0374093409458</v>
      </c>
      <c r="AU43" s="31">
        <v>2.22415796466395</v>
      </c>
      <c r="AV43" s="31">
        <v>3.68558192197038</v>
      </c>
      <c r="AW43" s="31">
        <v>8.1150184950877904</v>
      </c>
      <c r="AX43" s="31">
        <v>14.965975698333301</v>
      </c>
      <c r="AY43" s="31">
        <v>18.396388791707601</v>
      </c>
      <c r="AZ43" s="31">
        <v>14.749314634751</v>
      </c>
      <c r="BA43" s="31">
        <v>0.35204670212643102</v>
      </c>
      <c r="BB43" s="31">
        <v>3.2918681217688999</v>
      </c>
      <c r="BC43" s="31">
        <v>10.647995891830799</v>
      </c>
      <c r="BD43" s="31">
        <v>17.954809231193899</v>
      </c>
      <c r="BE43" s="31"/>
      <c r="BF43" s="31">
        <v>9.7095764390875008</v>
      </c>
      <c r="BG43" s="31">
        <v>6.3191279190286496</v>
      </c>
      <c r="BH43" s="31">
        <v>9.1551369896058201</v>
      </c>
      <c r="BI43" s="31">
        <v>40.867015894875998</v>
      </c>
      <c r="BJ43" s="31">
        <v>17.181061952271602</v>
      </c>
      <c r="BK43" s="31">
        <v>13.889002893146399</v>
      </c>
      <c r="BL43" s="31">
        <v>6.5520627483854303</v>
      </c>
      <c r="BM43" s="31" t="s">
        <v>136</v>
      </c>
      <c r="BN43" s="31">
        <v>11.0337704876102</v>
      </c>
      <c r="BO43" s="31">
        <v>1.4835683180158601</v>
      </c>
      <c r="BP43" s="32">
        <v>21.079152414710901</v>
      </c>
      <c r="BQ43" s="31">
        <v>2.5113689238297301</v>
      </c>
      <c r="BR43" s="31">
        <v>1.715565829575</v>
      </c>
      <c r="BS43" s="31">
        <v>5.1292738476635096</v>
      </c>
      <c r="BT43" s="31">
        <v>4.9551223385828598</v>
      </c>
      <c r="BU43" s="31">
        <v>4.76170838396507</v>
      </c>
      <c r="BV43" s="31">
        <v>2.31550727862518</v>
      </c>
      <c r="BW43" s="31">
        <v>8.8215712502239807</v>
      </c>
      <c r="BX43" s="31">
        <v>13.029608914050501</v>
      </c>
      <c r="BY43" s="31">
        <v>5.8538030147951199</v>
      </c>
      <c r="BZ43" s="31">
        <v>0.248659710962819</v>
      </c>
      <c r="CA43" s="31">
        <v>4.6278080971570699</v>
      </c>
      <c r="CB43" s="31">
        <v>11.7066282651389</v>
      </c>
      <c r="CC43" s="31">
        <v>11.3051830810093</v>
      </c>
      <c r="CD43" s="31" t="s">
        <v>136</v>
      </c>
      <c r="CE43" s="31">
        <v>0.67211066831874</v>
      </c>
      <c r="CF43" s="31">
        <v>4.3046101833407198</v>
      </c>
      <c r="CG43" s="32">
        <v>2.0720097995811799</v>
      </c>
    </row>
    <row r="44" spans="1:182" s="68" customFormat="1" x14ac:dyDescent="0.3">
      <c r="A44" s="65" t="s">
        <v>143</v>
      </c>
      <c r="B44" s="66">
        <v>20.2438630378225</v>
      </c>
      <c r="C44" s="66">
        <v>63.6801285239127</v>
      </c>
      <c r="D44" s="66">
        <v>7.8170439667358904</v>
      </c>
      <c r="E44" s="66">
        <v>64.410005264171104</v>
      </c>
      <c r="F44" s="66">
        <v>92.2831661827327</v>
      </c>
      <c r="G44" s="66">
        <v>28.9978581032479</v>
      </c>
      <c r="H44" s="66">
        <v>48.461001303758401</v>
      </c>
      <c r="I44" s="66">
        <v>64.410618640217507</v>
      </c>
      <c r="J44" s="66">
        <v>2.8500672199308998</v>
      </c>
      <c r="K44" s="66">
        <v>216.54873295130901</v>
      </c>
      <c r="L44" s="66">
        <v>15.3672000019168</v>
      </c>
      <c r="M44" s="66">
        <v>28.463347379750701</v>
      </c>
      <c r="N44" s="66">
        <v>52.452797916371402</v>
      </c>
      <c r="O44" s="66">
        <v>17.365290048834002</v>
      </c>
      <c r="P44" s="66">
        <v>34.343566587627599</v>
      </c>
      <c r="Q44" s="66">
        <v>17.505176090415802</v>
      </c>
      <c r="R44" s="66">
        <v>42.362296327921598</v>
      </c>
      <c r="S44" s="66">
        <v>85.268471100560404</v>
      </c>
      <c r="T44" s="66">
        <v>17.438437406154701</v>
      </c>
      <c r="U44" s="66">
        <v>17.104409957400001</v>
      </c>
      <c r="V44" s="66">
        <v>33.936317538237397</v>
      </c>
      <c r="W44" s="66">
        <v>10714.442352412199</v>
      </c>
      <c r="X44" s="66">
        <v>1635.92789303781</v>
      </c>
      <c r="Y44" s="66">
        <v>819.69400647535201</v>
      </c>
      <c r="Z44" s="66">
        <v>17.037671273138798</v>
      </c>
      <c r="AA44" s="66">
        <v>47.848238633331</v>
      </c>
      <c r="AB44" s="66">
        <v>46.438366479584801</v>
      </c>
      <c r="AC44" s="66">
        <v>7.8171775777153796</v>
      </c>
      <c r="AD44" s="66">
        <v>337.344274515297</v>
      </c>
      <c r="AE44" s="66">
        <v>45.4358833003824</v>
      </c>
      <c r="AF44" s="66">
        <v>299.48286444836498</v>
      </c>
      <c r="AG44" s="66">
        <v>644.16946312022696</v>
      </c>
      <c r="AH44" s="66">
        <v>37.419619091182902</v>
      </c>
      <c r="AI44" s="67"/>
      <c r="AJ44" s="66"/>
      <c r="AK44" s="66">
        <v>9.7432191478919492</v>
      </c>
      <c r="AL44" s="66">
        <v>13.9849191993191</v>
      </c>
      <c r="AM44" s="66">
        <v>20.547045554951801</v>
      </c>
      <c r="AN44" s="66">
        <v>60.120738530649497</v>
      </c>
      <c r="AO44" s="66">
        <v>4.1092898224958203</v>
      </c>
      <c r="AP44" s="66">
        <v>26.181041151733801</v>
      </c>
      <c r="AQ44" s="66">
        <v>379.772550533659</v>
      </c>
      <c r="AR44" s="66">
        <v>30.489343945941702</v>
      </c>
      <c r="AS44" s="66">
        <v>16.8351852334076</v>
      </c>
      <c r="AT44" s="66">
        <v>12.0627176526955</v>
      </c>
      <c r="AU44" s="66">
        <v>8.8814260462786496</v>
      </c>
      <c r="AV44" s="66">
        <v>38.642911361412999</v>
      </c>
      <c r="AW44" s="66">
        <v>11.0687131363084</v>
      </c>
      <c r="AX44" s="66">
        <v>31.0859852327631</v>
      </c>
      <c r="AY44" s="66">
        <v>138.35709174074401</v>
      </c>
      <c r="AZ44" s="66">
        <v>16.901589162030799</v>
      </c>
      <c r="BA44" s="66">
        <v>9.2791869041595305</v>
      </c>
      <c r="BB44" s="66">
        <v>13.5210857697443</v>
      </c>
      <c r="BC44" s="66">
        <v>222.58623383062101</v>
      </c>
      <c r="BD44" s="66">
        <v>14.5812291292112</v>
      </c>
      <c r="BE44" s="66"/>
      <c r="BF44" s="66">
        <v>126.08999313408199</v>
      </c>
      <c r="BG44" s="66">
        <v>721.47623245015097</v>
      </c>
      <c r="BH44" s="66">
        <v>6.9592907710408696</v>
      </c>
      <c r="BI44" s="66">
        <v>145.51851023863199</v>
      </c>
      <c r="BJ44" s="66">
        <v>36.388955257216601</v>
      </c>
      <c r="BK44" s="66">
        <v>297.08912224738401</v>
      </c>
      <c r="BL44" s="66">
        <v>12.990715868774499</v>
      </c>
      <c r="BM44" s="66">
        <v>5.5011214681496599</v>
      </c>
      <c r="BN44" s="66">
        <v>26.578603195457099</v>
      </c>
      <c r="BO44" s="66">
        <v>34.466819981978901</v>
      </c>
      <c r="BP44" s="67">
        <v>210.978734327339</v>
      </c>
      <c r="BQ44" s="66">
        <v>16.835118962021699</v>
      </c>
      <c r="BR44" s="66">
        <v>22.3366380584865</v>
      </c>
      <c r="BS44" s="66">
        <v>35.725910041772103</v>
      </c>
      <c r="BT44" s="66">
        <v>13.9187140848535</v>
      </c>
      <c r="BU44" s="66">
        <v>2865.8241034451198</v>
      </c>
      <c r="BV44" s="66">
        <v>23.065689574239201</v>
      </c>
      <c r="BW44" s="66">
        <v>70.197435292146395</v>
      </c>
      <c r="BX44" s="66">
        <v>47.856622136351199</v>
      </c>
      <c r="BY44" s="66">
        <v>25.1867715498033</v>
      </c>
      <c r="BZ44" s="66">
        <v>11.8639697665268</v>
      </c>
      <c r="CA44" s="66">
        <v>46.663405834094398</v>
      </c>
      <c r="CB44" s="66">
        <v>42.619923497749198</v>
      </c>
      <c r="CC44" s="66">
        <v>307.91037802892203</v>
      </c>
      <c r="CD44" s="66">
        <v>69.136960575750194</v>
      </c>
      <c r="CE44" s="66">
        <v>15.641968931150799</v>
      </c>
      <c r="CF44" s="66">
        <v>27.175575839207699</v>
      </c>
      <c r="CG44" s="67">
        <v>35.262275426354798</v>
      </c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</row>
    <row r="45" spans="1:182" s="68" customFormat="1" x14ac:dyDescent="0.3">
      <c r="A45" s="65" t="s">
        <v>144</v>
      </c>
      <c r="B45" s="66">
        <v>37.859013221911397</v>
      </c>
      <c r="C45" s="66">
        <v>24.464426292735499</v>
      </c>
      <c r="D45" s="66">
        <v>8.6797701381542591</v>
      </c>
      <c r="E45" s="66" t="s">
        <v>136</v>
      </c>
      <c r="F45" s="66">
        <v>40.279646488354402</v>
      </c>
      <c r="G45" s="66">
        <v>82.765876846382199</v>
      </c>
      <c r="H45" s="66">
        <v>32.857895857325701</v>
      </c>
      <c r="I45" s="66">
        <v>9.5035098572033192</v>
      </c>
      <c r="J45" s="66" t="s">
        <v>136</v>
      </c>
      <c r="K45" s="66">
        <v>23.023452929658099</v>
      </c>
      <c r="L45" s="66">
        <v>20.139946670279102</v>
      </c>
      <c r="M45" s="66">
        <v>23.686909638407101</v>
      </c>
      <c r="N45" s="66">
        <v>14.5965578943597</v>
      </c>
      <c r="O45" s="66">
        <v>17.7668403636942</v>
      </c>
      <c r="P45" s="66">
        <v>78.698022401950496</v>
      </c>
      <c r="Q45" s="66">
        <v>34.462018403687701</v>
      </c>
      <c r="R45" s="66">
        <v>16.276956040809701</v>
      </c>
      <c r="S45" s="66">
        <v>45.568749259295501</v>
      </c>
      <c r="T45" s="66">
        <v>15.900114222613301</v>
      </c>
      <c r="U45" s="66">
        <v>28.529189222716401</v>
      </c>
      <c r="V45" s="66">
        <v>28.349204429623001</v>
      </c>
      <c r="W45" s="66">
        <v>82.073023905594994</v>
      </c>
      <c r="X45" s="66">
        <v>167.84530336837199</v>
      </c>
      <c r="Y45" s="66">
        <v>54.475637097692697</v>
      </c>
      <c r="Z45" s="66">
        <v>23.059890098638299</v>
      </c>
      <c r="AA45" s="66">
        <v>14.723454736167501</v>
      </c>
      <c r="AB45" s="66">
        <v>11.4880419840384</v>
      </c>
      <c r="AC45" s="66">
        <v>20.409437502585799</v>
      </c>
      <c r="AD45" s="66">
        <v>8.8278407669533401</v>
      </c>
      <c r="AE45" s="66">
        <v>31.444729118394999</v>
      </c>
      <c r="AF45" s="66">
        <v>26.323451189395001</v>
      </c>
      <c r="AG45" s="66">
        <v>44.151576616950102</v>
      </c>
      <c r="AH45" s="66">
        <v>21.4734248948279</v>
      </c>
      <c r="AI45" s="67"/>
      <c r="AJ45" s="66"/>
      <c r="AK45" s="66">
        <v>7.1603491705798801</v>
      </c>
      <c r="AL45" s="66">
        <v>8.3164184403071992</v>
      </c>
      <c r="AM45" s="66">
        <v>0.21512377878112601</v>
      </c>
      <c r="AN45" s="66">
        <v>43.832266825792303</v>
      </c>
      <c r="AO45" s="66">
        <v>18.704596927587399</v>
      </c>
      <c r="AP45" s="66">
        <v>10.802124249389299</v>
      </c>
      <c r="AQ45" s="66">
        <v>18.8889087353589</v>
      </c>
      <c r="AR45" s="66">
        <v>33.745309552111799</v>
      </c>
      <c r="AS45" s="66">
        <v>7.8821341812600796</v>
      </c>
      <c r="AT45" s="66">
        <v>43.2655330215064</v>
      </c>
      <c r="AU45" s="66">
        <v>19.213008356923801</v>
      </c>
      <c r="AV45" s="66">
        <v>20.6578738936884</v>
      </c>
      <c r="AW45" s="66">
        <v>15.0309473782635</v>
      </c>
      <c r="AX45" s="66">
        <v>98.963937798897902</v>
      </c>
      <c r="AY45" s="66">
        <v>6.2076520853634403</v>
      </c>
      <c r="AZ45" s="66">
        <v>9.73718147945665</v>
      </c>
      <c r="BA45" s="66" t="s">
        <v>136</v>
      </c>
      <c r="BB45" s="66">
        <v>44.9997048813213</v>
      </c>
      <c r="BC45" s="66">
        <v>5.4537398152141598</v>
      </c>
      <c r="BD45" s="66">
        <v>40.8249228363415</v>
      </c>
      <c r="BE45" s="66"/>
      <c r="BF45" s="66">
        <v>87.570431521271402</v>
      </c>
      <c r="BG45" s="66">
        <v>44.498481032349602</v>
      </c>
      <c r="BH45" s="66">
        <v>12.023020115804099</v>
      </c>
      <c r="BI45" s="66">
        <v>237.001979586472</v>
      </c>
      <c r="BJ45" s="66">
        <v>28.694406667125602</v>
      </c>
      <c r="BK45" s="66">
        <v>4.1284774875663901</v>
      </c>
      <c r="BL45" s="66">
        <v>16.739542100910398</v>
      </c>
      <c r="BM45" s="66" t="s">
        <v>136</v>
      </c>
      <c r="BN45" s="66">
        <v>21.609132611992202</v>
      </c>
      <c r="BO45" s="66">
        <v>20.922343086209299</v>
      </c>
      <c r="BP45" s="67">
        <v>15.2502466103457</v>
      </c>
      <c r="BQ45" s="66">
        <v>20.600371235623701</v>
      </c>
      <c r="BR45" s="66">
        <v>11.148507810651401</v>
      </c>
      <c r="BS45" s="66">
        <v>0.67259185246665498</v>
      </c>
      <c r="BT45" s="66">
        <v>6.1118199941869804</v>
      </c>
      <c r="BU45" s="66">
        <v>72.4741939931871</v>
      </c>
      <c r="BV45" s="66">
        <v>19.193025266914301</v>
      </c>
      <c r="BW45" s="66">
        <v>9.8125036317217997</v>
      </c>
      <c r="BX45" s="66">
        <v>47.370756681510201</v>
      </c>
      <c r="BY45" s="66">
        <v>73.409333329365097</v>
      </c>
      <c r="BZ45" s="66">
        <v>1.39978686024268</v>
      </c>
      <c r="CA45" s="66">
        <v>1.13059595516665</v>
      </c>
      <c r="CB45" s="66">
        <v>17.889802822311498</v>
      </c>
      <c r="CC45" s="66">
        <v>26.657038749973601</v>
      </c>
      <c r="CD45" s="66" t="s">
        <v>136</v>
      </c>
      <c r="CE45" s="66" t="s">
        <v>136</v>
      </c>
      <c r="CF45" s="66">
        <v>33.942879905452003</v>
      </c>
      <c r="CG45" s="67">
        <v>1.8263197456675699</v>
      </c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</row>
    <row r="46" spans="1:182" x14ac:dyDescent="0.3">
      <c r="A46" s="30" t="s">
        <v>145</v>
      </c>
      <c r="B46" s="31">
        <v>5.1039865173048602</v>
      </c>
      <c r="C46" s="31">
        <v>0.91991594547587996</v>
      </c>
      <c r="D46" s="31">
        <v>0.309219022886007</v>
      </c>
      <c r="E46" s="31">
        <v>0.90380187902818399</v>
      </c>
      <c r="F46" s="31">
        <v>0.47641295323782901</v>
      </c>
      <c r="G46" s="31">
        <v>0.51043110784142298</v>
      </c>
      <c r="H46" s="31">
        <v>33.471903808130897</v>
      </c>
      <c r="I46" s="31">
        <v>1.3530715912676701</v>
      </c>
      <c r="J46" s="31" t="s">
        <v>136</v>
      </c>
      <c r="K46" s="31">
        <v>1.07871423796817</v>
      </c>
      <c r="L46" s="31">
        <v>0.69068782700146103</v>
      </c>
      <c r="M46" s="31">
        <v>0.87026932027382697</v>
      </c>
      <c r="N46" s="31">
        <v>0.91542632494635301</v>
      </c>
      <c r="O46" s="31">
        <v>0.62925778622274997</v>
      </c>
      <c r="P46" s="31">
        <v>4.6521975638200201</v>
      </c>
      <c r="Q46" s="31">
        <v>5.4886315607203501E-2</v>
      </c>
      <c r="R46" s="31">
        <v>2.40439856535972</v>
      </c>
      <c r="S46" s="31">
        <v>1.07133551483347</v>
      </c>
      <c r="T46" s="31">
        <v>10.609751226915099</v>
      </c>
      <c r="U46" s="31">
        <v>0.72060973346955404</v>
      </c>
      <c r="V46" s="31">
        <v>0.264264946287942</v>
      </c>
      <c r="W46" s="31">
        <v>1.44514154295959</v>
      </c>
      <c r="X46" s="31">
        <v>1.33527591940295</v>
      </c>
      <c r="Y46" s="31">
        <v>0.27746778536938899</v>
      </c>
      <c r="Z46" s="31">
        <v>1.7590006556300799</v>
      </c>
      <c r="AA46" s="31">
        <v>1.7379723874823401</v>
      </c>
      <c r="AB46" s="31">
        <v>1.05913140013568</v>
      </c>
      <c r="AC46" s="31">
        <v>0.68578690412072296</v>
      </c>
      <c r="AD46" s="31">
        <v>0.509141373421096</v>
      </c>
      <c r="AE46" s="31">
        <v>1.1502284867775401</v>
      </c>
      <c r="AF46" s="31">
        <v>0.14715733902922801</v>
      </c>
      <c r="AG46" s="31">
        <v>0.23266292777266101</v>
      </c>
      <c r="AH46" s="31">
        <v>21.231933843351602</v>
      </c>
      <c r="AI46" s="32"/>
      <c r="AJ46" s="31"/>
      <c r="AK46" s="31">
        <v>0.90459665306641202</v>
      </c>
      <c r="AL46" s="31">
        <v>0.52735292154451396</v>
      </c>
      <c r="AM46" s="31">
        <v>0.61626207294236202</v>
      </c>
      <c r="AN46" s="31">
        <v>0.181131470452461</v>
      </c>
      <c r="AO46" s="31">
        <v>0.40834770911238699</v>
      </c>
      <c r="AP46" s="31">
        <v>1.09100706943337</v>
      </c>
      <c r="AQ46" s="31">
        <v>0.14114036934333099</v>
      </c>
      <c r="AR46" s="31">
        <v>1.32232501019793</v>
      </c>
      <c r="AS46" s="31">
        <v>1.2824261764163101</v>
      </c>
      <c r="AT46" s="31">
        <v>4.62973178963398</v>
      </c>
      <c r="AU46" s="31">
        <v>2.2711674270217901E-2</v>
      </c>
      <c r="AV46" s="31">
        <v>0.12497046905175099</v>
      </c>
      <c r="AW46" s="31">
        <v>0.328238869475665</v>
      </c>
      <c r="AX46" s="31">
        <v>30.527951505554899</v>
      </c>
      <c r="AY46" s="31">
        <v>1.16302263918007</v>
      </c>
      <c r="AZ46" s="31">
        <v>0.74651244263336403</v>
      </c>
      <c r="BA46" s="31">
        <v>9.1391708523174808E-3</v>
      </c>
      <c r="BB46" s="31">
        <v>0.120741106609283</v>
      </c>
      <c r="BC46" s="31">
        <v>0.48102619880785802</v>
      </c>
      <c r="BD46" s="31">
        <v>1.2239398065006999</v>
      </c>
      <c r="BE46" s="31"/>
      <c r="BF46" s="31">
        <v>1.4800552223330601</v>
      </c>
      <c r="BG46" s="31">
        <v>0.15171974247918299</v>
      </c>
      <c r="BH46" s="31">
        <v>0.43935205435587998</v>
      </c>
      <c r="BI46" s="31">
        <v>36.211136948575202</v>
      </c>
      <c r="BJ46" s="31">
        <v>1.4214347135902401</v>
      </c>
      <c r="BK46" s="31">
        <v>2.20424892812495</v>
      </c>
      <c r="BL46" s="31">
        <v>0.34954825767379999</v>
      </c>
      <c r="BM46" s="31" t="s">
        <v>136</v>
      </c>
      <c r="BN46" s="31">
        <v>2.4331317752231199</v>
      </c>
      <c r="BO46" s="31">
        <v>0.48751512195218799</v>
      </c>
      <c r="BP46" s="32">
        <v>0.406570420797909</v>
      </c>
      <c r="BQ46" s="31">
        <v>25.864017247352901</v>
      </c>
      <c r="BR46" s="31">
        <v>0.96529743884219299</v>
      </c>
      <c r="BS46" s="31">
        <v>3.6176724099589301</v>
      </c>
      <c r="BT46" s="31">
        <v>1.0620049865719501</v>
      </c>
      <c r="BU46" s="31">
        <v>0.117329397719519</v>
      </c>
      <c r="BV46" s="31">
        <v>9.8148507655571304</v>
      </c>
      <c r="BW46" s="31">
        <v>2.4613902638945002</v>
      </c>
      <c r="BX46" s="31">
        <v>2.99651641795433</v>
      </c>
      <c r="BY46" s="31">
        <v>2.3617721695734701</v>
      </c>
      <c r="BZ46" s="31">
        <v>6.3219484688419598</v>
      </c>
      <c r="CA46" s="31">
        <v>11.0401708994607</v>
      </c>
      <c r="CB46" s="31">
        <v>11.977381700086299</v>
      </c>
      <c r="CC46" s="31">
        <v>1.0539657950194701</v>
      </c>
      <c r="CD46" s="31">
        <v>12.060205094962299</v>
      </c>
      <c r="CE46" s="31">
        <v>20.5791806129563</v>
      </c>
      <c r="CF46" s="31">
        <v>0.74462161026840601</v>
      </c>
      <c r="CG46" s="32">
        <v>34.055604010065402</v>
      </c>
    </row>
    <row r="47" spans="1:182" x14ac:dyDescent="0.3">
      <c r="A47" s="30" t="s">
        <v>146</v>
      </c>
      <c r="B47" s="31">
        <v>18.5904638930472</v>
      </c>
      <c r="C47" s="31">
        <v>17.1921460023257</v>
      </c>
      <c r="D47" s="31">
        <v>19.0231637710685</v>
      </c>
      <c r="E47" s="31">
        <v>33.929953445967797</v>
      </c>
      <c r="F47" s="31">
        <v>548.15018400253905</v>
      </c>
      <c r="G47" s="31">
        <v>254.92852327952599</v>
      </c>
      <c r="H47" s="31">
        <v>41.211754005695703</v>
      </c>
      <c r="I47" s="31">
        <v>19.450356440299199</v>
      </c>
      <c r="J47" s="31">
        <v>1.42625293951457E-2</v>
      </c>
      <c r="K47" s="31">
        <v>35.035102762791198</v>
      </c>
      <c r="L47" s="31">
        <v>15.513347578755599</v>
      </c>
      <c r="M47" s="31">
        <v>13.801348493081999</v>
      </c>
      <c r="N47" s="31">
        <v>49.522346972209498</v>
      </c>
      <c r="O47" s="31">
        <v>20.927763593407398</v>
      </c>
      <c r="P47" s="31">
        <v>37.119243794904499</v>
      </c>
      <c r="Q47" s="31">
        <v>16.6868858675175</v>
      </c>
      <c r="R47" s="31">
        <v>33.301359277170199</v>
      </c>
      <c r="S47" s="31">
        <v>22.5568124333371</v>
      </c>
      <c r="T47" s="31">
        <v>6.3551848382030904</v>
      </c>
      <c r="U47" s="31">
        <v>8.5728959653225694</v>
      </c>
      <c r="V47" s="31">
        <v>69.655124460257298</v>
      </c>
      <c r="W47" s="31">
        <v>2882.8088591081701</v>
      </c>
      <c r="X47" s="31">
        <v>390.38799084592898</v>
      </c>
      <c r="Y47" s="31">
        <v>221.74807460285001</v>
      </c>
      <c r="Z47" s="31">
        <v>18.217386284943299</v>
      </c>
      <c r="AA47" s="31">
        <v>16.425824775917</v>
      </c>
      <c r="AB47" s="31">
        <v>17.463060092233999</v>
      </c>
      <c r="AC47" s="31">
        <v>19.282732484397901</v>
      </c>
      <c r="AD47" s="31">
        <v>115.62038639222899</v>
      </c>
      <c r="AE47" s="31">
        <v>180.42244971367199</v>
      </c>
      <c r="AF47" s="31">
        <v>35.508141260799697</v>
      </c>
      <c r="AG47" s="31">
        <v>307.42099270551103</v>
      </c>
      <c r="AH47" s="31">
        <v>109.406424653193</v>
      </c>
      <c r="AI47" s="32"/>
      <c r="AJ47" s="31"/>
      <c r="AK47" s="31">
        <v>18.1659588393074</v>
      </c>
      <c r="AL47" s="31">
        <v>125.974827851613</v>
      </c>
      <c r="AM47" s="31">
        <v>30.8849544738605</v>
      </c>
      <c r="AN47" s="31">
        <v>181.23225574729599</v>
      </c>
      <c r="AO47" s="31">
        <v>6.0713047358616299</v>
      </c>
      <c r="AP47" s="31">
        <v>17.124555164755499</v>
      </c>
      <c r="AQ47" s="31">
        <v>210.968627723797</v>
      </c>
      <c r="AR47" s="31">
        <v>28.668692088292001</v>
      </c>
      <c r="AS47" s="31">
        <v>16.208265741680901</v>
      </c>
      <c r="AT47" s="31">
        <v>11.022874392691699</v>
      </c>
      <c r="AU47" s="31">
        <v>12.937216822505301</v>
      </c>
      <c r="AV47" s="31">
        <v>102.403978393644</v>
      </c>
      <c r="AW47" s="31">
        <v>13.8157484085267</v>
      </c>
      <c r="AX47" s="31">
        <v>10.696207807658499</v>
      </c>
      <c r="AY47" s="31">
        <v>158.40567912977701</v>
      </c>
      <c r="AZ47" s="31">
        <v>15.677136465862899</v>
      </c>
      <c r="BA47" s="31">
        <v>9.9693183102428806E-2</v>
      </c>
      <c r="BB47" s="31">
        <v>7.5475635740933802</v>
      </c>
      <c r="BC47" s="31">
        <v>47.372524805807899</v>
      </c>
      <c r="BD47" s="31">
        <v>14.4803293984493</v>
      </c>
      <c r="BE47" s="31"/>
      <c r="BF47" s="31">
        <v>98.956025639755097</v>
      </c>
      <c r="BG47" s="31">
        <v>228.17482828680801</v>
      </c>
      <c r="BH47" s="31">
        <v>8.6065608668690601</v>
      </c>
      <c r="BI47" s="31">
        <v>100.993209917359</v>
      </c>
      <c r="BJ47" s="31">
        <v>28.176189054046201</v>
      </c>
      <c r="BK47" s="31">
        <v>304.24932982254899</v>
      </c>
      <c r="BL47" s="31">
        <v>15.928527281391</v>
      </c>
      <c r="BM47" s="31">
        <v>6.7219801386750294E-2</v>
      </c>
      <c r="BN47" s="31">
        <v>22.893703574043901</v>
      </c>
      <c r="BO47" s="31">
        <v>36.128610776496103</v>
      </c>
      <c r="BP47" s="32">
        <v>80.042422700815905</v>
      </c>
      <c r="BQ47" s="31">
        <v>18.637131808367499</v>
      </c>
      <c r="BR47" s="31">
        <v>1.23291296662724</v>
      </c>
      <c r="BS47" s="31">
        <v>209.227643113374</v>
      </c>
      <c r="BT47" s="31">
        <v>20.590095707636099</v>
      </c>
      <c r="BU47" s="31">
        <v>2.7213133999839698</v>
      </c>
      <c r="BV47" s="31">
        <v>14.404137171017</v>
      </c>
      <c r="BW47" s="31">
        <v>8.1060635999958901</v>
      </c>
      <c r="BX47" s="31">
        <v>1.1626537796271399</v>
      </c>
      <c r="BY47" s="31">
        <v>4.0136614554787</v>
      </c>
      <c r="BZ47" s="31">
        <v>5.7777820150120602</v>
      </c>
      <c r="CA47" s="31">
        <v>32.607697273607897</v>
      </c>
      <c r="CB47" s="31">
        <v>135.267129094892</v>
      </c>
      <c r="CC47" s="31">
        <v>6.8603496705803702</v>
      </c>
      <c r="CD47" s="31">
        <v>5.1439378997998197</v>
      </c>
      <c r="CE47" s="31">
        <v>20.782032315624601</v>
      </c>
      <c r="CF47" s="31">
        <v>2.0988129698179798</v>
      </c>
      <c r="CG47" s="32">
        <v>28.462289531861501</v>
      </c>
    </row>
    <row r="48" spans="1:182" x14ac:dyDescent="0.3">
      <c r="A48" s="30" t="s">
        <v>147</v>
      </c>
      <c r="B48" s="31">
        <v>88.9223279804866</v>
      </c>
      <c r="C48" s="31">
        <v>180.02075899295701</v>
      </c>
      <c r="D48" s="31">
        <v>42.175321560166097</v>
      </c>
      <c r="E48" s="31">
        <v>178.72649915039901</v>
      </c>
      <c r="F48" s="31">
        <v>611.018716699572</v>
      </c>
      <c r="G48" s="31">
        <v>342.07908151548497</v>
      </c>
      <c r="H48" s="31">
        <v>164.56077125750099</v>
      </c>
      <c r="I48" s="31">
        <v>102.33216397258001</v>
      </c>
      <c r="J48" s="31">
        <v>8.1310464986479203E-2</v>
      </c>
      <c r="K48" s="31">
        <v>228.61581249311399</v>
      </c>
      <c r="L48" s="31">
        <v>134.459043486734</v>
      </c>
      <c r="M48" s="31">
        <v>130.388868776761</v>
      </c>
      <c r="N48" s="31">
        <v>74.350905074186201</v>
      </c>
      <c r="O48" s="31">
        <v>209.172428296639</v>
      </c>
      <c r="P48" s="31">
        <v>18.474406389810799</v>
      </c>
      <c r="Q48" s="31">
        <v>31.017923335263699</v>
      </c>
      <c r="R48" s="31">
        <v>111.274081494988</v>
      </c>
      <c r="S48" s="31">
        <v>238.16870167880501</v>
      </c>
      <c r="T48" s="31">
        <v>48.300816634270099</v>
      </c>
      <c r="U48" s="31">
        <v>67.246842199309995</v>
      </c>
      <c r="V48" s="31">
        <v>81.123786259547799</v>
      </c>
      <c r="W48" s="31">
        <v>3393.6523095335801</v>
      </c>
      <c r="X48" s="31">
        <v>397.05890456355002</v>
      </c>
      <c r="Y48" s="31">
        <v>222.04432145885499</v>
      </c>
      <c r="Z48" s="31">
        <v>96.969233914750902</v>
      </c>
      <c r="AA48" s="31">
        <v>144.85724083667901</v>
      </c>
      <c r="AB48" s="31">
        <v>76.445569544054905</v>
      </c>
      <c r="AC48" s="31">
        <v>43.550700494580099</v>
      </c>
      <c r="AD48" s="31">
        <v>170.72782299789199</v>
      </c>
      <c r="AE48" s="31">
        <v>178.29979694393899</v>
      </c>
      <c r="AF48" s="31">
        <v>65.250418366711997</v>
      </c>
      <c r="AG48" s="31">
        <v>207.226451550463</v>
      </c>
      <c r="AH48" s="31">
        <v>198.853237562526</v>
      </c>
      <c r="AI48" s="32"/>
      <c r="AJ48" s="31"/>
      <c r="AK48" s="31">
        <v>108.96651137175201</v>
      </c>
      <c r="AL48" s="31">
        <v>83.431477308444798</v>
      </c>
      <c r="AM48" s="31">
        <v>6.3209110373592203</v>
      </c>
      <c r="AN48" s="31">
        <v>107.845164582942</v>
      </c>
      <c r="AO48" s="31">
        <v>107.319729254848</v>
      </c>
      <c r="AP48" s="31">
        <v>64.635700009055299</v>
      </c>
      <c r="AQ48" s="31">
        <v>52.059303820798299</v>
      </c>
      <c r="AR48" s="31">
        <v>135.61552988620201</v>
      </c>
      <c r="AS48" s="31">
        <v>61.832953215114898</v>
      </c>
      <c r="AT48" s="31">
        <v>148.988374230582</v>
      </c>
      <c r="AU48" s="31">
        <v>28.047389911972701</v>
      </c>
      <c r="AV48" s="31">
        <v>57.703773257355202</v>
      </c>
      <c r="AW48" s="31">
        <v>32.772166101154802</v>
      </c>
      <c r="AX48" s="31">
        <v>53.407115026352798</v>
      </c>
      <c r="AY48" s="31">
        <v>163.512843315238</v>
      </c>
      <c r="AZ48" s="31">
        <v>90.321804699216301</v>
      </c>
      <c r="BA48" s="31">
        <v>5.4952223470125301E-2</v>
      </c>
      <c r="BB48" s="31">
        <v>14.0898912033663</v>
      </c>
      <c r="BC48" s="31">
        <v>123.211139761941</v>
      </c>
      <c r="BD48" s="31">
        <v>112.68746402632399</v>
      </c>
      <c r="BE48" s="31"/>
      <c r="BF48" s="31">
        <v>262.84980171394398</v>
      </c>
      <c r="BG48" s="31">
        <v>220.321989790039</v>
      </c>
      <c r="BH48" s="31">
        <v>59.354089860003697</v>
      </c>
      <c r="BI48" s="31">
        <v>263.874661030607</v>
      </c>
      <c r="BJ48" s="31">
        <v>173.46346916889701</v>
      </c>
      <c r="BK48" s="31">
        <v>224.285775887022</v>
      </c>
      <c r="BL48" s="31">
        <v>64.154465691025493</v>
      </c>
      <c r="BM48" s="31">
        <v>5.5459063836550103E-2</v>
      </c>
      <c r="BN48" s="31">
        <v>92.427586169405799</v>
      </c>
      <c r="BO48" s="31">
        <v>13.270575189530399</v>
      </c>
      <c r="BP48" s="32">
        <v>11.0333697483021</v>
      </c>
      <c r="BQ48" s="31">
        <v>51.870944171191098</v>
      </c>
      <c r="BR48" s="31">
        <v>46.754206781086403</v>
      </c>
      <c r="BS48" s="31">
        <v>51.579807800685799</v>
      </c>
      <c r="BT48" s="31">
        <v>28.889325764784299</v>
      </c>
      <c r="BU48" s="31">
        <v>407.9541938882</v>
      </c>
      <c r="BV48" s="31">
        <v>25.0464854724997</v>
      </c>
      <c r="BW48" s="31">
        <v>57.010562434974801</v>
      </c>
      <c r="BX48" s="31">
        <v>82.366280855285495</v>
      </c>
      <c r="BY48" s="31">
        <v>19.554653843740201</v>
      </c>
      <c r="BZ48" s="31">
        <v>9.1845104611955293</v>
      </c>
      <c r="CA48" s="31">
        <v>38.483155141000402</v>
      </c>
      <c r="CB48" s="31">
        <v>46.465718379879398</v>
      </c>
      <c r="CC48" s="31">
        <v>177.919818723692</v>
      </c>
      <c r="CD48" s="31">
        <v>0.197834541811407</v>
      </c>
      <c r="CE48" s="31">
        <v>21.682742327113601</v>
      </c>
      <c r="CF48" s="31">
        <v>27.525524458227601</v>
      </c>
      <c r="CG48" s="32">
        <v>6.2758738505721796</v>
      </c>
    </row>
    <row r="49" spans="1:85" x14ac:dyDescent="0.3">
      <c r="A49" s="30" t="s">
        <v>148</v>
      </c>
      <c r="B49" s="31">
        <v>3.7821569385673602E-3</v>
      </c>
      <c r="C49" s="31">
        <v>1.0218177205445799E-2</v>
      </c>
      <c r="D49" s="31">
        <v>1.64769824949275E-3</v>
      </c>
      <c r="E49" s="31">
        <v>5.72433113298645E-3</v>
      </c>
      <c r="F49" s="31">
        <v>1.59393933439273E-3</v>
      </c>
      <c r="G49" s="31">
        <v>3.2847366391141699E-3</v>
      </c>
      <c r="H49" s="31">
        <v>2.3765453551350601E-3</v>
      </c>
      <c r="I49" s="31">
        <v>5.4176801194206299E-3</v>
      </c>
      <c r="J49" s="31">
        <v>2.9514074511468398E-4</v>
      </c>
      <c r="K49" s="31">
        <v>9.1231743045965402E-3</v>
      </c>
      <c r="L49" s="31">
        <v>9.5352446549138992E-3</v>
      </c>
      <c r="M49" s="31">
        <v>7.8118549495873602E-3</v>
      </c>
      <c r="N49" s="31">
        <v>3.6879647878177301E-3</v>
      </c>
      <c r="O49" s="31">
        <v>6.7422406024249901E-3</v>
      </c>
      <c r="P49" s="31">
        <v>4.3546414552175401E-3</v>
      </c>
      <c r="Q49" s="31">
        <v>1.5966325213798999E-3</v>
      </c>
      <c r="R49" s="31">
        <v>9.2126024665387593E-3</v>
      </c>
      <c r="S49" s="31">
        <v>1.32120589194831E-2</v>
      </c>
      <c r="T49" s="31">
        <v>1.91380770143978E-3</v>
      </c>
      <c r="U49" s="31">
        <v>2.5320553836752401E-3</v>
      </c>
      <c r="V49" s="31">
        <v>3.20488274320628E-3</v>
      </c>
      <c r="W49" s="31">
        <v>2.2488252079849E-3</v>
      </c>
      <c r="X49" s="31">
        <v>4.7532440357769103E-3</v>
      </c>
      <c r="Y49" s="31">
        <v>2.24174756601422E-3</v>
      </c>
      <c r="Z49" s="31">
        <v>4.5320611955723799E-3</v>
      </c>
      <c r="AA49" s="31">
        <v>4.77877273265626E-3</v>
      </c>
      <c r="AB49" s="31">
        <v>1.9995800625770201E-2</v>
      </c>
      <c r="AC49" s="31">
        <v>2.07508444673984E-3</v>
      </c>
      <c r="AD49" s="31">
        <v>1.8170464923201999E-3</v>
      </c>
      <c r="AE49" s="31">
        <v>4.7847450297540698E-3</v>
      </c>
      <c r="AF49" s="31">
        <v>1.90574426734649E-3</v>
      </c>
      <c r="AG49" s="31">
        <v>4.1395654776469996E-3</v>
      </c>
      <c r="AH49" s="31">
        <v>3.19438360831509E-3</v>
      </c>
      <c r="AI49" s="32"/>
      <c r="AJ49" s="31"/>
      <c r="AK49" s="31">
        <v>9.7879284075898694E-3</v>
      </c>
      <c r="AL49" s="31">
        <v>1.5966390496122401E-2</v>
      </c>
      <c r="AM49" s="31">
        <v>3.3672356082722499E-3</v>
      </c>
      <c r="AN49" s="31">
        <v>8.5345191338755295E-4</v>
      </c>
      <c r="AO49" s="31">
        <v>3.33525790798158E-3</v>
      </c>
      <c r="AP49" s="31">
        <v>4.99564871615207E-3</v>
      </c>
      <c r="AQ49" s="31">
        <v>2.0512801958029502E-3</v>
      </c>
      <c r="AR49" s="31">
        <v>5.4285872302165796E-3</v>
      </c>
      <c r="AS49" s="31">
        <v>5.6155615964062098E-3</v>
      </c>
      <c r="AT49" s="31">
        <v>5.1530728539927999E-3</v>
      </c>
      <c r="AU49" s="31">
        <v>2.5087074009760699E-4</v>
      </c>
      <c r="AV49" s="31">
        <v>1.73153270623294E-3</v>
      </c>
      <c r="AW49" s="31">
        <v>5.1088028489757204E-3</v>
      </c>
      <c r="AX49" s="31">
        <v>1.89387081463056E-3</v>
      </c>
      <c r="AY49" s="31">
        <v>5.0036328115568997E-2</v>
      </c>
      <c r="AZ49" s="31">
        <v>1.1030380855062499E-2</v>
      </c>
      <c r="BA49" s="31">
        <v>1.29371711328239E-3</v>
      </c>
      <c r="BB49" s="31">
        <v>7.7475460113552905E-4</v>
      </c>
      <c r="BC49" s="31">
        <v>4.9341503008491798E-3</v>
      </c>
      <c r="BD49" s="31">
        <v>5.0768251486850496E-3</v>
      </c>
      <c r="BE49" s="31"/>
      <c r="BF49" s="31">
        <v>3.3893706107807802E-3</v>
      </c>
      <c r="BG49" s="31">
        <v>1.3552081502511101E-3</v>
      </c>
      <c r="BH49" s="31">
        <v>2.66620532215849E-3</v>
      </c>
      <c r="BI49" s="31">
        <v>1.9515103611628001E-2</v>
      </c>
      <c r="BJ49" s="31">
        <v>4.2126569427496999E-2</v>
      </c>
      <c r="BK49" s="31">
        <v>5.4753289771804397E-3</v>
      </c>
      <c r="BL49" s="31">
        <v>8.5838064061278705E-4</v>
      </c>
      <c r="BM49" s="31">
        <v>3.04968686228475E-4</v>
      </c>
      <c r="BN49" s="31">
        <v>1.0907369267788399E-2</v>
      </c>
      <c r="BO49" s="31">
        <v>2.0020888418948099E-3</v>
      </c>
      <c r="BP49" s="32">
        <v>2.77289677208306E-2</v>
      </c>
      <c r="BQ49" s="31">
        <v>4.65617893934696E-3</v>
      </c>
      <c r="BR49" s="31">
        <v>1.8274584287707801E-3</v>
      </c>
      <c r="BS49" s="31">
        <v>3.26391679489656E-3</v>
      </c>
      <c r="BT49" s="31">
        <v>3.3598498957685598E-3</v>
      </c>
      <c r="BU49" s="31">
        <v>3.6255215742102098E-3</v>
      </c>
      <c r="BV49" s="31">
        <v>3.8345866729033598E-3</v>
      </c>
      <c r="BW49" s="31">
        <v>6.1223351005050301E-3</v>
      </c>
      <c r="BX49" s="31">
        <v>4.5823955976518303E-3</v>
      </c>
      <c r="BY49" s="31">
        <v>2.8998771653069599E-3</v>
      </c>
      <c r="BZ49" s="31">
        <v>1.8299080357150499E-3</v>
      </c>
      <c r="CA49" s="31">
        <v>2.6563700027105301E-3</v>
      </c>
      <c r="CB49" s="31">
        <v>2.37350680565391E-3</v>
      </c>
      <c r="CC49" s="31">
        <v>1.26889934846981E-2</v>
      </c>
      <c r="CD49" s="31">
        <v>2.1176999599968999E-3</v>
      </c>
      <c r="CE49" s="31">
        <v>3.05730868148186E-3</v>
      </c>
      <c r="CF49" s="31">
        <v>2.6809619904975199E-3</v>
      </c>
      <c r="CG49" s="32">
        <v>3.03518105730749E-3</v>
      </c>
    </row>
    <row r="50" spans="1:85" x14ac:dyDescent="0.3">
      <c r="A50" s="30" t="s">
        <v>149</v>
      </c>
      <c r="B50" s="31" t="s">
        <v>136</v>
      </c>
      <c r="C50" s="31">
        <v>4.4079190074187702E-3</v>
      </c>
      <c r="D50" s="31">
        <v>2.1578345467355101E-3</v>
      </c>
      <c r="E50" s="31">
        <v>1.7811977660503299E-3</v>
      </c>
      <c r="F50" s="31">
        <v>7.6621057007309E-4</v>
      </c>
      <c r="G50" s="31">
        <v>4.4098005090833104E-3</v>
      </c>
      <c r="H50" s="31" t="s">
        <v>136</v>
      </c>
      <c r="I50" s="31">
        <v>4.7857850839441796E-3</v>
      </c>
      <c r="J50" s="31" t="s">
        <v>136</v>
      </c>
      <c r="K50" s="31">
        <v>8.7439243887595004E-3</v>
      </c>
      <c r="L50" s="31">
        <v>3.62469042378705E-3</v>
      </c>
      <c r="M50" s="31">
        <v>3.9477510194752203E-3</v>
      </c>
      <c r="N50" s="31">
        <v>2.0019515705043101E-3</v>
      </c>
      <c r="O50" s="31">
        <v>2.9175058642588198E-3</v>
      </c>
      <c r="P50" s="31">
        <v>6.4790129474757605E-4</v>
      </c>
      <c r="Q50" s="31">
        <v>8.7137749993938904E-4</v>
      </c>
      <c r="R50" s="31">
        <v>2.0441101642386501E-2</v>
      </c>
      <c r="S50" s="31">
        <v>4.6417997593017797E-3</v>
      </c>
      <c r="T50" s="31">
        <v>1.27325836895174E-3</v>
      </c>
      <c r="U50" s="31">
        <v>2.0752118374126201E-3</v>
      </c>
      <c r="V50" s="31">
        <v>1.43606588539772E-3</v>
      </c>
      <c r="W50" s="31">
        <v>3.95797740227636E-4</v>
      </c>
      <c r="X50" s="31" t="s">
        <v>136</v>
      </c>
      <c r="Y50" s="31">
        <v>1.2676363969121799E-3</v>
      </c>
      <c r="Z50" s="31">
        <v>4.4229372213040099E-3</v>
      </c>
      <c r="AA50" s="31">
        <v>2.80668844778003E-3</v>
      </c>
      <c r="AB50" s="31">
        <v>1.5212543714347399E-2</v>
      </c>
      <c r="AC50" s="31">
        <v>1.0738653850660701E-2</v>
      </c>
      <c r="AD50" s="31">
        <v>4.5957537125160897E-3</v>
      </c>
      <c r="AE50" s="31">
        <v>8.3677195240809792E-3</v>
      </c>
      <c r="AF50" s="31">
        <v>2.5915713795592E-4</v>
      </c>
      <c r="AG50" s="31">
        <v>1.39534754732189E-3</v>
      </c>
      <c r="AH50" s="31" t="s">
        <v>136</v>
      </c>
      <c r="AI50" s="32"/>
      <c r="AJ50" s="31"/>
      <c r="AK50" s="31">
        <v>7.5834271587780404E-3</v>
      </c>
      <c r="AL50" s="31">
        <v>1.60429605416849E-2</v>
      </c>
      <c r="AM50" s="31">
        <v>4.2288079308289402E-3</v>
      </c>
      <c r="AN50" s="31">
        <v>5.7767364651781098E-4</v>
      </c>
      <c r="AO50" s="31">
        <v>1.7077237824531101E-3</v>
      </c>
      <c r="AP50" s="31">
        <v>2.0409487781932901E-3</v>
      </c>
      <c r="AQ50" s="31">
        <v>1.3998448324569999E-3</v>
      </c>
      <c r="AR50" s="31">
        <v>3.8991463740103501E-3</v>
      </c>
      <c r="AS50" s="31">
        <v>7.9004482851537505E-3</v>
      </c>
      <c r="AT50" s="31">
        <v>4.3392691053264704E-3</v>
      </c>
      <c r="AU50" s="31">
        <v>2.3360623601014101E-4</v>
      </c>
      <c r="AV50" s="31">
        <v>8.6923465364740799E-4</v>
      </c>
      <c r="AW50" s="31">
        <v>2.81790340074337E-3</v>
      </c>
      <c r="AX50" s="31">
        <v>1.39987742488616E-3</v>
      </c>
      <c r="AY50" s="31">
        <v>3.4988776650720803E-2</v>
      </c>
      <c r="AZ50" s="31">
        <v>5.5854352022186998E-3</v>
      </c>
      <c r="BA50" s="31">
        <v>1.202443353173E-3</v>
      </c>
      <c r="BB50" s="31">
        <v>3.6399224886798101E-4</v>
      </c>
      <c r="BC50" s="31">
        <v>2.4484356237763701E-3</v>
      </c>
      <c r="BD50" s="31">
        <v>5.8643938034061201E-3</v>
      </c>
      <c r="BE50" s="31"/>
      <c r="BF50" s="31">
        <v>9.1812872946015704E-4</v>
      </c>
      <c r="BG50" s="31">
        <v>6.9177430893829696E-4</v>
      </c>
      <c r="BH50" s="31">
        <v>2.4104002589457E-3</v>
      </c>
      <c r="BI50" s="31">
        <v>5.0058277382373497E-3</v>
      </c>
      <c r="BJ50" s="31">
        <v>1.14187140999193E-2</v>
      </c>
      <c r="BK50" s="31">
        <v>1.2435163324014601E-2</v>
      </c>
      <c r="BL50" s="31">
        <v>1.2404787180036699E-3</v>
      </c>
      <c r="BM50" s="31" t="s">
        <v>136</v>
      </c>
      <c r="BN50" s="31">
        <v>7.1070073255198197E-3</v>
      </c>
      <c r="BO50" s="31">
        <v>1.8489739383645599E-3</v>
      </c>
      <c r="BP50" s="32">
        <v>1.5829094453603101E-2</v>
      </c>
      <c r="BQ50" s="31">
        <v>2.6241142490246901E-3</v>
      </c>
      <c r="BR50" s="31">
        <v>1.5718948339254199E-3</v>
      </c>
      <c r="BS50" s="31">
        <v>2.91932017614877E-3</v>
      </c>
      <c r="BT50" s="31">
        <v>1.6932364476911299E-3</v>
      </c>
      <c r="BU50" s="31">
        <v>2.0319043791011599E-3</v>
      </c>
      <c r="BV50" s="31">
        <v>2.1134017482177798E-3</v>
      </c>
      <c r="BW50" s="31">
        <v>2.9591698528693999E-3</v>
      </c>
      <c r="BX50" s="31">
        <v>1.11734995270564E-3</v>
      </c>
      <c r="BY50" s="31">
        <v>9.6160159788915699E-4</v>
      </c>
      <c r="BZ50" s="31">
        <v>1.8163815092037401E-3</v>
      </c>
      <c r="CA50" s="31">
        <v>2.3415813447726398E-3</v>
      </c>
      <c r="CB50" s="31">
        <v>1.82724565225735E-3</v>
      </c>
      <c r="CC50" s="31">
        <v>2.1912650614829602E-3</v>
      </c>
      <c r="CD50" s="31">
        <v>2.2184308511884999E-3</v>
      </c>
      <c r="CE50" s="31">
        <v>3.3992654238278802E-3</v>
      </c>
      <c r="CF50" s="31">
        <v>1.8236170284774401E-3</v>
      </c>
      <c r="CG50" s="32">
        <v>2.9410484622559799E-3</v>
      </c>
    </row>
    <row r="51" spans="1:85" x14ac:dyDescent="0.3">
      <c r="A51" s="30" t="s">
        <v>150</v>
      </c>
      <c r="B51" s="31">
        <v>4.3002124857446598</v>
      </c>
      <c r="C51" s="31">
        <v>3.6092188240555698</v>
      </c>
      <c r="D51" s="31">
        <v>3.4918653980221599</v>
      </c>
      <c r="E51" s="31">
        <v>2.0332430624759299</v>
      </c>
      <c r="F51" s="31">
        <v>1.8747873510228701</v>
      </c>
      <c r="G51" s="31">
        <v>4.8383913179216602</v>
      </c>
      <c r="H51" s="31">
        <v>1.5845862378144799</v>
      </c>
      <c r="I51" s="31">
        <v>7.1821692994687902</v>
      </c>
      <c r="J51" s="31">
        <v>2.4107555195194701E-3</v>
      </c>
      <c r="K51" s="31">
        <v>3.9396020725950902</v>
      </c>
      <c r="L51" s="31">
        <v>1.24319036301643</v>
      </c>
      <c r="M51" s="31">
        <v>1.52505467772389</v>
      </c>
      <c r="N51" s="31">
        <v>0.55575112798075199</v>
      </c>
      <c r="O51" s="31">
        <v>1.08993309919481</v>
      </c>
      <c r="P51" s="31">
        <v>0.62173332746190102</v>
      </c>
      <c r="Q51" s="31">
        <v>1.7065578639016001E-2</v>
      </c>
      <c r="R51" s="31">
        <v>4.5520468267048404</v>
      </c>
      <c r="S51" s="31">
        <v>1.6643074875355399</v>
      </c>
      <c r="T51" s="31">
        <v>0.88719407590453703</v>
      </c>
      <c r="U51" s="31">
        <v>1.81097034772537</v>
      </c>
      <c r="V51" s="31">
        <v>0.49472015612269199</v>
      </c>
      <c r="W51" s="31">
        <v>6.3857562988082002</v>
      </c>
      <c r="X51" s="31">
        <v>0.64055769751415603</v>
      </c>
      <c r="Y51" s="31">
        <v>0.25378213872006</v>
      </c>
      <c r="Z51" s="31">
        <v>3.6727923130553699</v>
      </c>
      <c r="AA51" s="31">
        <v>3.2795473379485598</v>
      </c>
      <c r="AB51" s="31">
        <v>3.45208207565077</v>
      </c>
      <c r="AC51" s="31">
        <v>1.56597924939638</v>
      </c>
      <c r="AD51" s="31">
        <v>5.3703120716344603</v>
      </c>
      <c r="AE51" s="31">
        <v>6.7965499821266304</v>
      </c>
      <c r="AF51" s="31">
        <v>0.175091415596519</v>
      </c>
      <c r="AG51" s="31">
        <v>0.90025143287428799</v>
      </c>
      <c r="AH51" s="31">
        <v>1.2230039703348901</v>
      </c>
      <c r="AI51" s="32"/>
      <c r="AJ51" s="31"/>
      <c r="AK51" s="31">
        <v>1.3193189781447701</v>
      </c>
      <c r="AL51" s="31">
        <v>8.1375932689849897</v>
      </c>
      <c r="AM51" s="31">
        <v>0.186740539463427</v>
      </c>
      <c r="AN51" s="31">
        <v>0.37214040391275599</v>
      </c>
      <c r="AO51" s="31">
        <v>1.00605279209387</v>
      </c>
      <c r="AP51" s="31">
        <v>2.2357418876963702</v>
      </c>
      <c r="AQ51" s="31">
        <v>8.1776240560163194E-2</v>
      </c>
      <c r="AR51" s="31">
        <v>1.6618940856358899</v>
      </c>
      <c r="AS51" s="31">
        <v>4.5102473142470902</v>
      </c>
      <c r="AT51" s="31">
        <v>2.393516647507</v>
      </c>
      <c r="AU51" s="31">
        <v>6.0566944264052597E-2</v>
      </c>
      <c r="AV51" s="31">
        <v>4.4086104987353401E-2</v>
      </c>
      <c r="AW51" s="31">
        <v>0.416861370885585</v>
      </c>
      <c r="AX51" s="31">
        <v>6.1215861592538499</v>
      </c>
      <c r="AY51" s="31">
        <v>7.6588423912087702</v>
      </c>
      <c r="AZ51" s="31">
        <v>2.0651247447543901</v>
      </c>
      <c r="BA51" s="31">
        <v>1.0286272444458301E-2</v>
      </c>
      <c r="BB51" s="31">
        <v>2.9477959531525599E-2</v>
      </c>
      <c r="BC51" s="31">
        <v>0.92896420681687397</v>
      </c>
      <c r="BD51" s="31">
        <v>2.15498428976416</v>
      </c>
      <c r="BE51" s="31"/>
      <c r="BF51" s="31">
        <v>0.35234843451528203</v>
      </c>
      <c r="BG51" s="31">
        <v>0.69034060303553002</v>
      </c>
      <c r="BH51" s="31">
        <v>0.28624185236616201</v>
      </c>
      <c r="BI51" s="31">
        <v>19.283879106900201</v>
      </c>
      <c r="BJ51" s="31">
        <v>15.6993941137584</v>
      </c>
      <c r="BK51" s="31">
        <v>39.160674190147198</v>
      </c>
      <c r="BL51" s="31">
        <v>1.95844644716648</v>
      </c>
      <c r="BM51" s="31">
        <v>5.2559640174260598E-3</v>
      </c>
      <c r="BN51" s="31">
        <v>1.0308297889496101</v>
      </c>
      <c r="BO51" s="31">
        <v>0.37215928184182101</v>
      </c>
      <c r="BP51" s="32">
        <v>5.4013224424147098E-2</v>
      </c>
      <c r="BQ51" s="31">
        <v>8.8196821321399804E-2</v>
      </c>
      <c r="BR51" s="31">
        <v>0.10121218426867901</v>
      </c>
      <c r="BS51" s="31">
        <v>7.1525459925396606E-2</v>
      </c>
      <c r="BT51" s="31">
        <v>0.19322982350748999</v>
      </c>
      <c r="BU51" s="31">
        <v>1.2435085540839901</v>
      </c>
      <c r="BV51" s="31">
        <v>0.14617983479257701</v>
      </c>
      <c r="BW51" s="31">
        <v>0.168614665394796</v>
      </c>
      <c r="BX51" s="31">
        <v>0.99364854305564199</v>
      </c>
      <c r="BY51" s="31">
        <v>0.46383174327843602</v>
      </c>
      <c r="BZ51" s="31">
        <v>3.94651332603492E-2</v>
      </c>
      <c r="CA51" s="31">
        <v>9.9240295807595497E-2</v>
      </c>
      <c r="CB51" s="31">
        <v>0.54370299067921501</v>
      </c>
      <c r="CC51" s="31">
        <v>0.53823614439465794</v>
      </c>
      <c r="CD51" s="31">
        <v>4.3111717176718099E-3</v>
      </c>
      <c r="CE51" s="31">
        <v>3.6042429529483597E-2</v>
      </c>
      <c r="CF51" s="31">
        <v>0.23110401481665399</v>
      </c>
      <c r="CG51" s="32">
        <v>1.81752107788445E-2</v>
      </c>
    </row>
    <row r="52" spans="1:85" x14ac:dyDescent="0.3">
      <c r="A52" s="30" t="s">
        <v>151</v>
      </c>
      <c r="B52" s="31">
        <v>2.1976767162356801</v>
      </c>
      <c r="C52" s="31">
        <v>2.9240803249259901</v>
      </c>
      <c r="D52" s="31">
        <v>1.5385427282056501</v>
      </c>
      <c r="E52" s="31">
        <v>1.10371523948059</v>
      </c>
      <c r="F52" s="31">
        <v>6.50661404506757E-2</v>
      </c>
      <c r="G52" s="31">
        <v>2.49380239759927</v>
      </c>
      <c r="H52" s="31">
        <v>0.13556082319510199</v>
      </c>
      <c r="I52" s="31">
        <v>2.07665359513389</v>
      </c>
      <c r="J52" s="31">
        <v>1.24638980813434E-2</v>
      </c>
      <c r="K52" s="31">
        <v>4.3520802299059298</v>
      </c>
      <c r="L52" s="31">
        <v>3.4918198554915301</v>
      </c>
      <c r="M52" s="31">
        <v>1.2686426784310301</v>
      </c>
      <c r="N52" s="31">
        <v>0.69000116794257504</v>
      </c>
      <c r="O52" s="31">
        <v>3.8403375840427501</v>
      </c>
      <c r="P52" s="31">
        <v>0.17874944413142599</v>
      </c>
      <c r="Q52" s="31">
        <v>2.19391478197052E-3</v>
      </c>
      <c r="R52" s="31">
        <v>4.9756942753266102</v>
      </c>
      <c r="S52" s="31">
        <v>4.60493991750403</v>
      </c>
      <c r="T52" s="31">
        <v>0.353529359775062</v>
      </c>
      <c r="U52" s="31">
        <v>1.2311512010029</v>
      </c>
      <c r="V52" s="31">
        <v>2.41141060836468</v>
      </c>
      <c r="W52" s="31">
        <v>0.109100620734723</v>
      </c>
      <c r="X52" s="31">
        <v>0.12775797698175401</v>
      </c>
      <c r="Y52" s="31">
        <v>0.53657351001823195</v>
      </c>
      <c r="Z52" s="31">
        <v>3.0480756769559099</v>
      </c>
      <c r="AA52" s="31">
        <v>0.99859836242574196</v>
      </c>
      <c r="AB52" s="31">
        <v>15.0299471559573</v>
      </c>
      <c r="AC52" s="31">
        <v>1.79989536527288</v>
      </c>
      <c r="AD52" s="31">
        <v>1.19370515656756</v>
      </c>
      <c r="AE52" s="31">
        <v>4.0373416794656301</v>
      </c>
      <c r="AF52" s="31">
        <v>4.7506536937900398E-2</v>
      </c>
      <c r="AG52" s="31">
        <v>0.79745018014775004</v>
      </c>
      <c r="AH52" s="31">
        <v>0.230691067862697</v>
      </c>
      <c r="AI52" s="32"/>
      <c r="AJ52" s="31"/>
      <c r="AK52" s="31">
        <v>3.8401679916356599</v>
      </c>
      <c r="AL52" s="31">
        <v>6.2918389699311197</v>
      </c>
      <c r="AM52" s="31">
        <v>0.30040249500281202</v>
      </c>
      <c r="AN52" s="31">
        <v>0.30248670695361202</v>
      </c>
      <c r="AO52" s="31">
        <v>0.82204676568363899</v>
      </c>
      <c r="AP52" s="31">
        <v>1.3291492418747399</v>
      </c>
      <c r="AQ52" s="31">
        <v>0.444515690498265</v>
      </c>
      <c r="AR52" s="31">
        <v>2.3677587552885102</v>
      </c>
      <c r="AS52" s="31">
        <v>1.7509099261320999</v>
      </c>
      <c r="AT52" s="31">
        <v>1.5198739847865701</v>
      </c>
      <c r="AU52" s="31">
        <v>1.9561791678246E-2</v>
      </c>
      <c r="AV52" s="31">
        <v>0.41379643870934901</v>
      </c>
      <c r="AW52" s="31">
        <v>0.80043221810123</v>
      </c>
      <c r="AX52" s="31">
        <v>0.70262217578152897</v>
      </c>
      <c r="AY52" s="31">
        <v>27.4678424763352</v>
      </c>
      <c r="AZ52" s="31">
        <v>4.6270115459954804</v>
      </c>
      <c r="BA52" s="31">
        <v>0.155339794757856</v>
      </c>
      <c r="BB52" s="31">
        <v>0.113326701429629</v>
      </c>
      <c r="BC52" s="31">
        <v>0.78560729522736705</v>
      </c>
      <c r="BD52" s="31">
        <v>5.1169006500238403</v>
      </c>
      <c r="BE52" s="31"/>
      <c r="BF52" s="31">
        <v>1.73573539945816E-2</v>
      </c>
      <c r="BG52" s="31">
        <v>0.20631721618198401</v>
      </c>
      <c r="BH52" s="31">
        <v>0.52764725089258002</v>
      </c>
      <c r="BI52" s="31">
        <v>11.0327829176916</v>
      </c>
      <c r="BJ52" s="31">
        <v>28.871719662282</v>
      </c>
      <c r="BK52" s="31">
        <v>5.5506337795626601</v>
      </c>
      <c r="BL52" s="31">
        <v>0.49626292603324201</v>
      </c>
      <c r="BM52" s="31">
        <v>4.0880478403823799E-2</v>
      </c>
      <c r="BN52" s="31">
        <v>8.4099858159227807</v>
      </c>
      <c r="BO52" s="31">
        <v>0.33236301079798303</v>
      </c>
      <c r="BP52" s="32">
        <v>7.2049099543492199</v>
      </c>
      <c r="BQ52" s="31">
        <v>0.77499982189741101</v>
      </c>
      <c r="BR52" s="31">
        <v>0.21003890117652599</v>
      </c>
      <c r="BS52" s="31">
        <v>0.36001558192586303</v>
      </c>
      <c r="BT52" s="31">
        <v>0.45278779753975401</v>
      </c>
      <c r="BU52" s="31">
        <v>0.42803617109160702</v>
      </c>
      <c r="BV52" s="31">
        <v>0.52570576909431899</v>
      </c>
      <c r="BW52" s="31">
        <v>2.42204926675916</v>
      </c>
      <c r="BX52" s="31">
        <v>10.779867819334401</v>
      </c>
      <c r="BY52" s="31">
        <v>0.81957879881226803</v>
      </c>
      <c r="BZ52" s="31">
        <v>8.9882982154520896E-2</v>
      </c>
      <c r="CA52" s="31">
        <v>0.52506760252042195</v>
      </c>
      <c r="CB52" s="31">
        <v>0.46361742459054101</v>
      </c>
      <c r="CC52" s="31">
        <v>4.3206415399436704</v>
      </c>
      <c r="CD52" s="31">
        <v>5.4110936967188203E-2</v>
      </c>
      <c r="CE52" s="31">
        <v>0.74706746634159704</v>
      </c>
      <c r="CF52" s="31">
        <v>0.29690512974262601</v>
      </c>
      <c r="CG52" s="32">
        <v>0.44390849883949002</v>
      </c>
    </row>
    <row r="53" spans="1:85" x14ac:dyDescent="0.3">
      <c r="A53" s="30" t="s">
        <v>152</v>
      </c>
      <c r="B53" s="31">
        <v>4.3702653048580198E-3</v>
      </c>
      <c r="C53" s="31">
        <v>1.20618311544579E-2</v>
      </c>
      <c r="D53" s="31">
        <v>1.2038465447892501E-2</v>
      </c>
      <c r="E53" s="31">
        <v>2.5287259815322699E-3</v>
      </c>
      <c r="F53" s="31">
        <v>1.1382159864831E-2</v>
      </c>
      <c r="G53" s="31">
        <v>1.8786176886112602E-2</v>
      </c>
      <c r="H53" s="31" t="s">
        <v>136</v>
      </c>
      <c r="I53" s="31">
        <v>2.9844045250124601E-2</v>
      </c>
      <c r="J53" s="31" t="s">
        <v>136</v>
      </c>
      <c r="K53" s="31">
        <v>2.78555048696204E-2</v>
      </c>
      <c r="L53" s="31">
        <v>1.2996584882279401E-2</v>
      </c>
      <c r="M53" s="31">
        <v>1.2904099517519E-2</v>
      </c>
      <c r="N53" s="31">
        <v>6.8205571213007703E-3</v>
      </c>
      <c r="O53" s="31">
        <v>8.7416867000824593E-3</v>
      </c>
      <c r="P53" s="31">
        <v>2.22385417294176E-2</v>
      </c>
      <c r="Q53" s="31">
        <v>8.7447790786313604E-4</v>
      </c>
      <c r="R53" s="31">
        <v>9.1633610644160604E-2</v>
      </c>
      <c r="S53" s="31">
        <v>9.5103830334848493E-3</v>
      </c>
      <c r="T53" s="31">
        <v>1.84436772939847E-3</v>
      </c>
      <c r="U53" s="31">
        <v>9.1420398571751792E-3</v>
      </c>
      <c r="V53" s="31">
        <v>5.2341332956874799E-3</v>
      </c>
      <c r="W53" s="31">
        <v>2.70765559138034E-2</v>
      </c>
      <c r="X53" s="31">
        <v>1.29463712884573E-2</v>
      </c>
      <c r="Y53" s="31">
        <v>6.8614441899946099E-3</v>
      </c>
      <c r="Z53" s="31">
        <v>1.4262549251342099E-2</v>
      </c>
      <c r="AA53" s="31">
        <v>3.6006602188186198E-3</v>
      </c>
      <c r="AB53" s="31">
        <v>3.2678729240297799E-2</v>
      </c>
      <c r="AC53" s="31">
        <v>3.2010556982835503E-2</v>
      </c>
      <c r="AD53" s="31">
        <v>5.9261209084865499E-2</v>
      </c>
      <c r="AE53" s="31">
        <v>4.8307708396224398E-2</v>
      </c>
      <c r="AF53" s="31">
        <v>2.72969691881961E-3</v>
      </c>
      <c r="AG53" s="31">
        <v>1.6476385756907401E-2</v>
      </c>
      <c r="AH53" s="31" t="s">
        <v>136</v>
      </c>
      <c r="AI53" s="32"/>
      <c r="AJ53" s="31"/>
      <c r="AK53" s="31">
        <v>1.2817291721409E-2</v>
      </c>
      <c r="AL53" s="31">
        <v>0.184633710441822</v>
      </c>
      <c r="AM53" s="31">
        <v>4.3044390623945498E-3</v>
      </c>
      <c r="AN53" s="31">
        <v>5.4290204945935203E-3</v>
      </c>
      <c r="AO53" s="31">
        <v>5.0325872821630601E-3</v>
      </c>
      <c r="AP53" s="31">
        <v>9.3370263445576203E-3</v>
      </c>
      <c r="AQ53" s="31">
        <v>1.6763280749793499E-3</v>
      </c>
      <c r="AR53" s="31">
        <v>1.34584962319843E-2</v>
      </c>
      <c r="AS53" s="31">
        <v>4.3719524873563002E-2</v>
      </c>
      <c r="AT53" s="31">
        <v>1.2695526060427099E-2</v>
      </c>
      <c r="AU53" s="31" t="s">
        <v>136</v>
      </c>
      <c r="AV53" s="31">
        <v>1.8017794582649699E-3</v>
      </c>
      <c r="AW53" s="31">
        <v>5.3367947719208803E-3</v>
      </c>
      <c r="AX53" s="31">
        <v>1.7752781742293802E-2</v>
      </c>
      <c r="AY53" s="31">
        <v>0.25108479222410302</v>
      </c>
      <c r="AZ53" s="31">
        <v>2.62405469751711E-2</v>
      </c>
      <c r="BA53" s="31">
        <v>9.2176123625398697E-4</v>
      </c>
      <c r="BB53" s="31">
        <v>3.5610833186581099E-3</v>
      </c>
      <c r="BC53" s="31">
        <v>7.9619469196212309E-3</v>
      </c>
      <c r="BD53" s="31">
        <v>1.9470838578916301E-2</v>
      </c>
      <c r="BE53" s="31"/>
      <c r="BF53" s="31">
        <v>1.5533597796278401E-2</v>
      </c>
      <c r="BG53" s="31">
        <v>8.4544968144649596E-3</v>
      </c>
      <c r="BH53" s="31">
        <v>3.2702134117767699E-3</v>
      </c>
      <c r="BI53" s="31">
        <v>3.4464812993789298E-2</v>
      </c>
      <c r="BJ53" s="31">
        <v>5.1848589226674097E-2</v>
      </c>
      <c r="BK53" s="31">
        <v>0.406266907671195</v>
      </c>
      <c r="BL53" s="31">
        <v>5.5944333171493296E-3</v>
      </c>
      <c r="BM53" s="31" t="s">
        <v>136</v>
      </c>
      <c r="BN53" s="31">
        <v>1.85075196122165E-2</v>
      </c>
      <c r="BO53" s="31">
        <v>5.9072237224961702E-3</v>
      </c>
      <c r="BP53" s="32">
        <v>3.9431926683071499E-3</v>
      </c>
      <c r="BQ53" s="31">
        <v>4.99655385939293E-3</v>
      </c>
      <c r="BR53" s="31">
        <v>2.4756281233820798E-3</v>
      </c>
      <c r="BS53" s="31">
        <v>3.7483339746006801E-3</v>
      </c>
      <c r="BT53" s="31">
        <v>2.7027775071558E-3</v>
      </c>
      <c r="BU53" s="31">
        <v>1.78981383064356E-2</v>
      </c>
      <c r="BV53" s="31">
        <v>4.6352561559463096E-3</v>
      </c>
      <c r="BW53" s="31">
        <v>5.9206325683715498E-3</v>
      </c>
      <c r="BX53" s="31">
        <v>1.33548541768858E-2</v>
      </c>
      <c r="BY53" s="31">
        <v>9.8365514617348992E-3</v>
      </c>
      <c r="BZ53" s="31">
        <v>1.9519448495734599E-3</v>
      </c>
      <c r="CA53" s="31">
        <v>2.6391025923674701E-3</v>
      </c>
      <c r="CB53" s="31">
        <v>2.58207223959775E-3</v>
      </c>
      <c r="CC53" s="31">
        <v>1.64850585999591E-2</v>
      </c>
      <c r="CD53" s="31">
        <v>1.8017880098248401E-3</v>
      </c>
      <c r="CE53" s="31">
        <v>2.9270877730528401E-3</v>
      </c>
      <c r="CF53" s="31">
        <v>5.6411105814370404E-3</v>
      </c>
      <c r="CG53" s="32">
        <v>2.7807164238064599E-3</v>
      </c>
    </row>
    <row r="54" spans="1:85" x14ac:dyDescent="0.3">
      <c r="A54" s="30" t="s">
        <v>153</v>
      </c>
      <c r="B54" s="31" t="s">
        <v>136</v>
      </c>
      <c r="C54" s="31">
        <v>0.11409853103468</v>
      </c>
      <c r="D54" s="31">
        <v>2.2701887997042099E-2</v>
      </c>
      <c r="E54" s="31">
        <v>2.7790547643452401E-2</v>
      </c>
      <c r="F54" s="31">
        <v>4.9841640131097799E-2</v>
      </c>
      <c r="G54" s="31">
        <v>7.7090453417368907E-2</v>
      </c>
      <c r="H54" s="31" t="s">
        <v>136</v>
      </c>
      <c r="I54" s="31">
        <v>3.6190948911438599E-2</v>
      </c>
      <c r="J54" s="31" t="s">
        <v>136</v>
      </c>
      <c r="K54" s="31">
        <v>3.6380584058009598E-2</v>
      </c>
      <c r="L54" s="31">
        <v>4.2746312550620703E-2</v>
      </c>
      <c r="M54" s="31">
        <v>4.3893545406455799E-2</v>
      </c>
      <c r="N54" s="31">
        <v>3.04406864273097E-2</v>
      </c>
      <c r="O54" s="31">
        <v>4.69265212190665E-2</v>
      </c>
      <c r="P54" s="31">
        <v>8.7865574635630397E-2</v>
      </c>
      <c r="Q54" s="31">
        <v>6.0316345620671302E-4</v>
      </c>
      <c r="R54" s="31">
        <v>0.11544950218491599</v>
      </c>
      <c r="S54" s="31">
        <v>3.44540160030102E-2</v>
      </c>
      <c r="T54" s="31">
        <v>8.2171798455891992E-3</v>
      </c>
      <c r="U54" s="31">
        <v>1.9003890695970901E-2</v>
      </c>
      <c r="V54" s="31">
        <v>2.37877136798577E-2</v>
      </c>
      <c r="W54" s="31">
        <v>9.6169741975493606E-2</v>
      </c>
      <c r="X54" s="31">
        <v>3.6601572468074703E-2</v>
      </c>
      <c r="Y54" s="31">
        <v>6.7637434812093902E-2</v>
      </c>
      <c r="Z54" s="31">
        <v>3.9700591405269998E-2</v>
      </c>
      <c r="AA54" s="31" t="s">
        <v>136</v>
      </c>
      <c r="AB54" s="31">
        <v>8.3731775001337494E-2</v>
      </c>
      <c r="AC54" s="31">
        <v>6.3015644319021499E-2</v>
      </c>
      <c r="AD54" s="31">
        <v>3.8831901737365199E-2</v>
      </c>
      <c r="AE54" s="31">
        <v>8.3020012771993806E-2</v>
      </c>
      <c r="AF54" s="31">
        <v>2.1722910867191799E-2</v>
      </c>
      <c r="AG54" s="31">
        <v>9.8072371656079502E-2</v>
      </c>
      <c r="AH54" s="31" t="s">
        <v>136</v>
      </c>
      <c r="AI54" s="32"/>
      <c r="AJ54" s="31"/>
      <c r="AK54" s="31">
        <v>7.9171213711480601E-2</v>
      </c>
      <c r="AL54" s="31">
        <v>0.17396987048704199</v>
      </c>
      <c r="AM54" s="31">
        <v>1.49007620594571E-2</v>
      </c>
      <c r="AN54" s="31">
        <v>1.43335680140514E-2</v>
      </c>
      <c r="AO54" s="31">
        <v>1.8990798631200699E-2</v>
      </c>
      <c r="AP54" s="31">
        <v>2.5007285611710599E-2</v>
      </c>
      <c r="AQ54" s="31">
        <v>2.53824281102141E-2</v>
      </c>
      <c r="AR54" s="31">
        <v>4.7816752483158198E-2</v>
      </c>
      <c r="AS54" s="31">
        <v>4.47191794218929E-2</v>
      </c>
      <c r="AT54" s="31">
        <v>5.1856342067071799E-2</v>
      </c>
      <c r="AU54" s="31" t="s">
        <v>136</v>
      </c>
      <c r="AV54" s="31">
        <v>1.9042574192143499E-2</v>
      </c>
      <c r="AW54" s="31">
        <v>2.9665796313902901E-2</v>
      </c>
      <c r="AX54" s="31">
        <v>0.38060372920136998</v>
      </c>
      <c r="AY54" s="31">
        <v>0.22703838520651401</v>
      </c>
      <c r="AZ54" s="31">
        <v>5.6832226581396299E-2</v>
      </c>
      <c r="BA54" s="31" t="s">
        <v>136</v>
      </c>
      <c r="BB54" s="31">
        <v>1.0905703918856599E-2</v>
      </c>
      <c r="BC54" s="31">
        <v>2.00161176577821E-2</v>
      </c>
      <c r="BD54" s="31">
        <v>5.52068676909203E-2</v>
      </c>
      <c r="BE54" s="31"/>
      <c r="BF54" s="31">
        <v>4.4971666499005802E-2</v>
      </c>
      <c r="BG54" s="31">
        <v>6.7446226272277907E-2</v>
      </c>
      <c r="BH54" s="31">
        <v>3.9761051238732699E-2</v>
      </c>
      <c r="BI54" s="31">
        <v>8.7121443706456206E-2</v>
      </c>
      <c r="BJ54" s="31">
        <v>9.5478672861800104E-2</v>
      </c>
      <c r="BK54" s="31">
        <v>0.30398497597274099</v>
      </c>
      <c r="BL54" s="31">
        <v>4.62954489904936E-2</v>
      </c>
      <c r="BM54" s="31" t="s">
        <v>136</v>
      </c>
      <c r="BN54" s="31">
        <v>8.0758819790802905E-2</v>
      </c>
      <c r="BO54" s="31">
        <v>1.9987121792035899E-2</v>
      </c>
      <c r="BP54" s="32">
        <v>3.47389091058097E-2</v>
      </c>
      <c r="BQ54" s="31">
        <v>1.08833606162883E-2</v>
      </c>
      <c r="BR54" s="31">
        <v>9.8614066617517E-3</v>
      </c>
      <c r="BS54" s="31">
        <v>6.95438201722444E-3</v>
      </c>
      <c r="BT54" s="31">
        <v>4.0412284806732399E-3</v>
      </c>
      <c r="BU54" s="31">
        <v>5.0419398118262203E-2</v>
      </c>
      <c r="BV54" s="31">
        <v>1.20344964864118E-2</v>
      </c>
      <c r="BW54" s="31">
        <v>1.6889180221440099E-2</v>
      </c>
      <c r="BX54" s="31">
        <v>9.9584409870548101E-3</v>
      </c>
      <c r="BY54" s="31">
        <v>2.7453867545325202E-2</v>
      </c>
      <c r="BZ54" s="31">
        <v>2.7512033833868902E-3</v>
      </c>
      <c r="CA54" s="31">
        <v>4.0315114714833799E-3</v>
      </c>
      <c r="CB54" s="31">
        <v>3.13920491800389E-3</v>
      </c>
      <c r="CC54" s="31">
        <v>2.7542038251467098E-2</v>
      </c>
      <c r="CD54" s="31">
        <v>3.3297727299698698E-4</v>
      </c>
      <c r="CE54" s="31">
        <v>4.4162643054231404E-3</v>
      </c>
      <c r="CF54" s="31">
        <v>1.6109521151742402E-2</v>
      </c>
      <c r="CG54" s="32">
        <v>3.5853339507087301E-3</v>
      </c>
    </row>
    <row r="55" spans="1:85" x14ac:dyDescent="0.3">
      <c r="A55" s="30" t="s">
        <v>154</v>
      </c>
      <c r="B55" s="31" t="s">
        <v>136</v>
      </c>
      <c r="C55" s="31">
        <v>1.8768592762953999E-2</v>
      </c>
      <c r="D55" s="31">
        <v>7.5086145937268804E-3</v>
      </c>
      <c r="E55" s="31" t="s">
        <v>136</v>
      </c>
      <c r="F55" s="31">
        <v>3.2823143746356399E-2</v>
      </c>
      <c r="G55" s="31">
        <v>3.2953524038780101E-3</v>
      </c>
      <c r="H55" s="31" t="s">
        <v>136</v>
      </c>
      <c r="I55" s="31" t="s">
        <v>136</v>
      </c>
      <c r="J55" s="31" t="s">
        <v>136</v>
      </c>
      <c r="K55" s="31" t="s">
        <v>136</v>
      </c>
      <c r="L55" s="31">
        <v>9.49979181639974E-3</v>
      </c>
      <c r="M55" s="31" t="s">
        <v>136</v>
      </c>
      <c r="N55" s="31">
        <v>7.3422157290427403E-3</v>
      </c>
      <c r="O55" s="31">
        <v>1.00501541937165E-2</v>
      </c>
      <c r="P55" s="31">
        <v>1.54362965656136E-2</v>
      </c>
      <c r="Q55" s="31" t="s">
        <v>136</v>
      </c>
      <c r="R55" s="31">
        <v>8.9480206117899003E-2</v>
      </c>
      <c r="S55" s="31" t="s">
        <v>136</v>
      </c>
      <c r="T55" s="31">
        <v>8.4626080065739202E-3</v>
      </c>
      <c r="U55" s="31">
        <v>8.0718249296894608E-3</v>
      </c>
      <c r="V55" s="31">
        <v>2.4975768385871199E-3</v>
      </c>
      <c r="W55" s="31">
        <v>8.6788996262838897E-2</v>
      </c>
      <c r="X55" s="31" t="s">
        <v>136</v>
      </c>
      <c r="Y55" s="31">
        <v>2.69848136406186E-2</v>
      </c>
      <c r="Z55" s="31">
        <v>4.9160978019640597E-3</v>
      </c>
      <c r="AA55" s="31" t="s">
        <v>136</v>
      </c>
      <c r="AB55" s="31">
        <v>2.2100686568156402E-2</v>
      </c>
      <c r="AC55" s="31">
        <v>2.88443022502619E-2</v>
      </c>
      <c r="AD55" s="31">
        <v>5.4625840418722697E-2</v>
      </c>
      <c r="AE55" s="31">
        <v>1.3037740110746199E-2</v>
      </c>
      <c r="AF55" s="31">
        <v>2.94386809754652E-2</v>
      </c>
      <c r="AG55" s="31">
        <v>2.6485877265029201E-2</v>
      </c>
      <c r="AH55" s="31" t="s">
        <v>136</v>
      </c>
      <c r="AI55" s="32"/>
      <c r="AJ55" s="31"/>
      <c r="AK55" s="31">
        <v>1.6790163046765099E-2</v>
      </c>
      <c r="AL55" s="31">
        <v>4.6152711056504203E-2</v>
      </c>
      <c r="AM55" s="31">
        <v>7.5379725429496397E-3</v>
      </c>
      <c r="AN55" s="31">
        <v>4.8823250299420097E-3</v>
      </c>
      <c r="AO55" s="31">
        <v>1.6454381829509001E-4</v>
      </c>
      <c r="AP55" s="31">
        <v>6.0812562454145604E-4</v>
      </c>
      <c r="AQ55" s="31">
        <v>2.1687663225347101E-2</v>
      </c>
      <c r="AR55" s="31">
        <v>1.79458431641654E-2</v>
      </c>
      <c r="AS55" s="31">
        <v>4.6804462171763601E-2</v>
      </c>
      <c r="AT55" s="31">
        <v>1.3129320265956E-3</v>
      </c>
      <c r="AU55" s="31" t="s">
        <v>136</v>
      </c>
      <c r="AV55" s="31">
        <v>1.03830837286711E-2</v>
      </c>
      <c r="AW55" s="31">
        <v>6.0334599506433502E-3</v>
      </c>
      <c r="AX55" s="31">
        <v>2.26684040052894E-2</v>
      </c>
      <c r="AY55" s="31">
        <v>0.14186157575789499</v>
      </c>
      <c r="AZ55" s="31">
        <v>1.45018052161977E-2</v>
      </c>
      <c r="BA55" s="31" t="s">
        <v>136</v>
      </c>
      <c r="BB55" s="31">
        <v>4.1165556085760897E-3</v>
      </c>
      <c r="BC55" s="31">
        <v>2.9077295803668201E-2</v>
      </c>
      <c r="BD55" s="31">
        <v>6.2435921967989097E-3</v>
      </c>
      <c r="BE55" s="31"/>
      <c r="BF55" s="31">
        <v>6.7444315848634404E-2</v>
      </c>
      <c r="BG55" s="31">
        <v>1.50601191238751E-2</v>
      </c>
      <c r="BH55" s="31">
        <v>1.26125779379401E-2</v>
      </c>
      <c r="BI55" s="31">
        <v>2.5424952085816601E-2</v>
      </c>
      <c r="BJ55" s="31">
        <v>1.94991492652992E-2</v>
      </c>
      <c r="BK55" s="31">
        <v>0.15908771729110099</v>
      </c>
      <c r="BL55" s="31">
        <v>3.7185377372133798E-3</v>
      </c>
      <c r="BM55" s="31" t="s">
        <v>136</v>
      </c>
      <c r="BN55" s="31">
        <v>3.50384035007772E-2</v>
      </c>
      <c r="BO55" s="31">
        <v>9.1977076263716293E-3</v>
      </c>
      <c r="BP55" s="32">
        <v>2.9240226584489701E-2</v>
      </c>
      <c r="BQ55" s="31">
        <v>1.99808106525116E-3</v>
      </c>
      <c r="BR55" s="31">
        <v>1.85914640372258E-3</v>
      </c>
      <c r="BS55" s="31">
        <v>8.1695624392872702E-4</v>
      </c>
      <c r="BT55" s="31">
        <v>2.3408287849150301E-5</v>
      </c>
      <c r="BU55" s="31">
        <v>3.90214758846662E-3</v>
      </c>
      <c r="BV55" s="31">
        <v>3.2504559561509099E-3</v>
      </c>
      <c r="BW55" s="31" t="s">
        <v>136</v>
      </c>
      <c r="BX55" s="31">
        <v>2.5361847680531202E-3</v>
      </c>
      <c r="BY55" s="31" t="s">
        <v>136</v>
      </c>
      <c r="BZ55" s="31">
        <v>1.19282546625032E-3</v>
      </c>
      <c r="CA55" s="31" t="s">
        <v>136</v>
      </c>
      <c r="CB55" s="31" t="s">
        <v>136</v>
      </c>
      <c r="CC55" s="31" t="s">
        <v>136</v>
      </c>
      <c r="CD55" s="31" t="s">
        <v>136</v>
      </c>
      <c r="CE55" s="31">
        <v>3.15242456591628E-3</v>
      </c>
      <c r="CF55" s="31">
        <v>3.7838849993764202E-4</v>
      </c>
      <c r="CG55" s="32" t="s">
        <v>136</v>
      </c>
    </row>
    <row r="56" spans="1:85" x14ac:dyDescent="0.3">
      <c r="A56" s="30" t="s">
        <v>155</v>
      </c>
      <c r="B56" s="31">
        <v>1.5037062772152001E-3</v>
      </c>
      <c r="C56" s="31">
        <v>2.92640587889091E-2</v>
      </c>
      <c r="D56" s="31">
        <v>2.43409846628268E-2</v>
      </c>
      <c r="E56" s="31" t="s">
        <v>136</v>
      </c>
      <c r="F56" s="31">
        <v>5.8521660646113803E-3</v>
      </c>
      <c r="G56" s="31">
        <v>4.9776890067487001E-3</v>
      </c>
      <c r="H56" s="31">
        <v>0.108589696118433</v>
      </c>
      <c r="I56" s="31">
        <v>0.105582283564003</v>
      </c>
      <c r="J56" s="31" t="s">
        <v>136</v>
      </c>
      <c r="K56" s="31">
        <v>2.4595763034878201E-2</v>
      </c>
      <c r="L56" s="31">
        <v>1.34088612096277E-2</v>
      </c>
      <c r="M56" s="31">
        <v>4.2181924150181002E-2</v>
      </c>
      <c r="N56" s="31">
        <v>1.5707293487427401E-2</v>
      </c>
      <c r="O56" s="31" t="s">
        <v>136</v>
      </c>
      <c r="P56" s="31">
        <v>7.0966723909301199E-3</v>
      </c>
      <c r="Q56" s="31">
        <v>7.9811442409935707E-2</v>
      </c>
      <c r="R56" s="31">
        <v>0.178966271603194</v>
      </c>
      <c r="S56" s="31" t="s">
        <v>136</v>
      </c>
      <c r="T56" s="31">
        <v>6.4029389760118294E-2</v>
      </c>
      <c r="U56" s="31">
        <v>6.72821363659174E-2</v>
      </c>
      <c r="V56" s="31">
        <v>1.0820023856429001E-3</v>
      </c>
      <c r="W56" s="31" t="s">
        <v>136</v>
      </c>
      <c r="X56" s="31" t="s">
        <v>136</v>
      </c>
      <c r="Y56" s="31">
        <v>2.4968954900932799E-2</v>
      </c>
      <c r="Z56" s="31">
        <v>0.101687762433427</v>
      </c>
      <c r="AA56" s="31">
        <v>3.0932787903159401E-2</v>
      </c>
      <c r="AB56" s="31">
        <v>1.83646571823162E-2</v>
      </c>
      <c r="AC56" s="31">
        <v>8.0046985897735998E-2</v>
      </c>
      <c r="AD56" s="31">
        <v>2.4823135859941701E-2</v>
      </c>
      <c r="AE56" s="31">
        <v>0.164262022100223</v>
      </c>
      <c r="AF56" s="31">
        <v>3.69962008750811E-4</v>
      </c>
      <c r="AG56" s="31">
        <v>8.8344613955832797E-3</v>
      </c>
      <c r="AH56" s="31">
        <v>1.7184846368448602E-2</v>
      </c>
      <c r="AI56" s="32"/>
      <c r="AJ56" s="31"/>
      <c r="AK56" s="31">
        <v>5.2457542483141603E-4</v>
      </c>
      <c r="AL56" s="31">
        <v>0.277404861436572</v>
      </c>
      <c r="AM56" s="31">
        <v>6.2640141626472301E-2</v>
      </c>
      <c r="AN56" s="31">
        <v>3.3443650490845899E-3</v>
      </c>
      <c r="AO56" s="31">
        <v>5.7816408307435002E-3</v>
      </c>
      <c r="AP56" s="31">
        <v>1.08749731321801E-2</v>
      </c>
      <c r="AQ56" s="31" t="s">
        <v>136</v>
      </c>
      <c r="AR56" s="31">
        <v>2.06577802298612E-2</v>
      </c>
      <c r="AS56" s="31">
        <v>4.87203360127864E-2</v>
      </c>
      <c r="AT56" s="31">
        <v>4.0160117514603001E-2</v>
      </c>
      <c r="AU56" s="31" t="s">
        <v>136</v>
      </c>
      <c r="AV56" s="31">
        <v>2.4918971977694899E-3</v>
      </c>
      <c r="AW56" s="31">
        <v>2.13118602126978E-3</v>
      </c>
      <c r="AX56" s="31">
        <v>0.12484901668180499</v>
      </c>
      <c r="AY56" s="31">
        <v>0.117453814630244</v>
      </c>
      <c r="AZ56" s="31">
        <v>5.5302708443571002E-3</v>
      </c>
      <c r="BA56" s="31">
        <v>4.0984750082437996E-3</v>
      </c>
      <c r="BB56" s="31" t="s">
        <v>136</v>
      </c>
      <c r="BC56" s="31">
        <v>2.5574363399093599E-3</v>
      </c>
      <c r="BD56" s="31">
        <v>4.2247960491396098E-2</v>
      </c>
      <c r="BE56" s="31"/>
      <c r="BF56" s="31">
        <v>4.4482356727501499E-3</v>
      </c>
      <c r="BG56" s="31">
        <v>7.6506047115256805E-4</v>
      </c>
      <c r="BH56" s="31" t="s">
        <v>136</v>
      </c>
      <c r="BI56" s="31">
        <v>8.5519629924350707E-2</v>
      </c>
      <c r="BJ56" s="31">
        <v>1.792507012613E-2</v>
      </c>
      <c r="BK56" s="31">
        <v>7.2480389733172404E-2</v>
      </c>
      <c r="BL56" s="31" t="s">
        <v>136</v>
      </c>
      <c r="BM56" s="31" t="s">
        <v>136</v>
      </c>
      <c r="BN56" s="31">
        <v>1.80326080882204E-3</v>
      </c>
      <c r="BO56" s="31">
        <v>1.46353920650841E-2</v>
      </c>
      <c r="BP56" s="32">
        <v>1.7520589687620901E-2</v>
      </c>
      <c r="BQ56" s="31">
        <v>9.7528603981160103E-2</v>
      </c>
      <c r="BR56" s="31">
        <v>4.5112535742544299E-2</v>
      </c>
      <c r="BS56" s="31">
        <v>6.25517834533523E-2</v>
      </c>
      <c r="BT56" s="31">
        <v>6.1130347981879399E-2</v>
      </c>
      <c r="BU56" s="31">
        <v>1.12138160706571E-2</v>
      </c>
      <c r="BV56" s="31">
        <v>5.5116549739683898E-2</v>
      </c>
      <c r="BW56" s="31">
        <v>5.00325614380022E-2</v>
      </c>
      <c r="BX56" s="31">
        <v>6.2868889297662905E-2</v>
      </c>
      <c r="BY56" s="31">
        <v>4.2150127174665E-2</v>
      </c>
      <c r="BZ56" s="31">
        <v>5.0786802541017598E-2</v>
      </c>
      <c r="CA56" s="31">
        <v>5.5269856907590897E-2</v>
      </c>
      <c r="CB56" s="31">
        <v>0.13675468216588699</v>
      </c>
      <c r="CC56" s="31">
        <v>5.5914789606457099E-2</v>
      </c>
      <c r="CD56" s="31">
        <v>5.424208250649E-2</v>
      </c>
      <c r="CE56" s="31">
        <v>7.0654506609154497E-2</v>
      </c>
      <c r="CF56" s="31">
        <v>3.47159426118464E-2</v>
      </c>
      <c r="CG56" s="32">
        <v>7.7401530151408104E-2</v>
      </c>
    </row>
    <row r="57" spans="1:85" x14ac:dyDescent="0.3">
      <c r="A57" s="30" t="s">
        <v>156</v>
      </c>
      <c r="B57" s="31">
        <v>2.3008948547987899E-3</v>
      </c>
      <c r="C57" s="31">
        <v>4.6111369707821901E-4</v>
      </c>
      <c r="D57" s="31">
        <v>4.3037278393967098E-4</v>
      </c>
      <c r="E57" s="31">
        <v>1.7256711410990899E-3</v>
      </c>
      <c r="F57" s="31">
        <v>9.2222739415643906E-5</v>
      </c>
      <c r="G57" s="31">
        <v>3.6889095766257497E-4</v>
      </c>
      <c r="H57" s="31">
        <v>4.3141778527477402E-3</v>
      </c>
      <c r="I57" s="31">
        <v>2.3008948547987899E-3</v>
      </c>
      <c r="J57" s="31" t="s">
        <v>136</v>
      </c>
      <c r="K57" s="31">
        <v>3.4513422821981902E-3</v>
      </c>
      <c r="L57" s="31">
        <v>5.5333643649386295E-4</v>
      </c>
      <c r="M57" s="31">
        <v>4.6111369707821901E-4</v>
      </c>
      <c r="N57" s="31">
        <v>3.38150044524027E-4</v>
      </c>
      <c r="O57" s="31">
        <v>3.82660034793292E-4</v>
      </c>
      <c r="P57" s="31">
        <v>1.5370456569274E-4</v>
      </c>
      <c r="Q57" s="31">
        <v>3.6889095766257497E-4</v>
      </c>
      <c r="R57" s="31">
        <v>9.5299904820812505E-4</v>
      </c>
      <c r="S57" s="31">
        <v>2.5885067116486402E-3</v>
      </c>
      <c r="T57" s="31">
        <v>3.38150044524027E-4</v>
      </c>
      <c r="U57" s="31">
        <v>3.38150044524027E-4</v>
      </c>
      <c r="V57" s="31">
        <v>3.5322464750150003E-4</v>
      </c>
      <c r="W57" s="31">
        <v>2.5885067116486402E-3</v>
      </c>
      <c r="X57" s="31">
        <v>5.7522371369969801E-4</v>
      </c>
      <c r="Y57" s="31">
        <v>1.1067036139008599E-3</v>
      </c>
      <c r="Z57" s="31">
        <v>5.2259552335531497E-4</v>
      </c>
      <c r="AA57" s="31">
        <v>2.01328299794894E-3</v>
      </c>
      <c r="AB57" s="31">
        <v>1.26046966141988E-3</v>
      </c>
      <c r="AC57" s="31">
        <v>1.07599344167546E-3</v>
      </c>
      <c r="AD57" s="31">
        <v>6.4555917590950699E-4</v>
      </c>
      <c r="AE57" s="31">
        <v>7.3781265623828899E-4</v>
      </c>
      <c r="AF57" s="31">
        <v>3.0740913138547998E-5</v>
      </c>
      <c r="AG57" s="31">
        <v>3.9963187080112301E-4</v>
      </c>
      <c r="AH57" s="31">
        <v>2.5885067116486402E-3</v>
      </c>
      <c r="AI57" s="32"/>
      <c r="AJ57" s="31"/>
      <c r="AK57" s="31">
        <v>2.3548309833433301E-4</v>
      </c>
      <c r="AL57" s="31">
        <v>4.7099563205595899E-4</v>
      </c>
      <c r="AM57" s="31">
        <v>1.5601638326268299E-3</v>
      </c>
      <c r="AN57" s="31">
        <v>2.9435387291791701E-5</v>
      </c>
      <c r="AO57" s="31">
        <v>1.1774154916716701E-4</v>
      </c>
      <c r="AP57" s="31">
        <v>2.9435387291791701E-4</v>
      </c>
      <c r="AQ57" s="31">
        <v>1.7661232375075001E-4</v>
      </c>
      <c r="AR57" s="31">
        <v>8.8306161875375007E-5</v>
      </c>
      <c r="AS57" s="31">
        <v>3.82660034793292E-4</v>
      </c>
      <c r="AT57" s="31">
        <v>8.8306161875375007E-5</v>
      </c>
      <c r="AU57" s="31" t="s">
        <v>136</v>
      </c>
      <c r="AV57" s="31">
        <v>5.8870774583583401E-5</v>
      </c>
      <c r="AW57" s="31">
        <v>7.9478489226566704E-4</v>
      </c>
      <c r="AX57" s="31">
        <v>2.9435387291791701E-5</v>
      </c>
      <c r="AY57" s="31">
        <v>2.5021256613514602E-3</v>
      </c>
      <c r="AZ57" s="31">
        <v>3.5322464750150003E-4</v>
      </c>
      <c r="BA57" s="31">
        <v>3.23789260209708E-4</v>
      </c>
      <c r="BB57" s="31">
        <v>1.4717693645895799E-4</v>
      </c>
      <c r="BC57" s="31">
        <v>2.3548309833433301E-4</v>
      </c>
      <c r="BD57" s="31">
        <v>3.82660034793292E-4</v>
      </c>
      <c r="BE57" s="31"/>
      <c r="BF57" s="31">
        <v>1.4717693645895799E-4</v>
      </c>
      <c r="BG57" s="31">
        <v>1.7661232375075001E-4</v>
      </c>
      <c r="BH57" s="31">
        <v>2.3548309833433301E-4</v>
      </c>
      <c r="BI57" s="31">
        <v>2.0604771104254201E-4</v>
      </c>
      <c r="BJ57" s="31">
        <v>2.6491848562612498E-4</v>
      </c>
      <c r="BK57" s="31">
        <v>7.3588468229479197E-4</v>
      </c>
      <c r="BL57" s="31">
        <v>0</v>
      </c>
      <c r="BM57" s="31" t="s">
        <v>136</v>
      </c>
      <c r="BN57" s="31">
        <v>5.0040158396045902E-4</v>
      </c>
      <c r="BO57" s="31">
        <v>3.5322464750150003E-4</v>
      </c>
      <c r="BP57" s="32">
        <v>4.3861670603498803E-3</v>
      </c>
      <c r="BQ57" s="31">
        <v>9.4196182872462598E-4</v>
      </c>
      <c r="BR57" s="31">
        <v>1.2658099597089201E-3</v>
      </c>
      <c r="BS57" s="31">
        <v>1.6484405591149201E-3</v>
      </c>
      <c r="BT57" s="31">
        <v>1.0008620386955001E-3</v>
      </c>
      <c r="BU57" s="31">
        <v>2.3548309833433301E-4</v>
      </c>
      <c r="BV57" s="31">
        <v>1.20690974973804E-3</v>
      </c>
      <c r="BW57" s="31">
        <v>1.38355150887608E-3</v>
      </c>
      <c r="BX57" s="31">
        <v>4.4156024476416702E-4</v>
      </c>
      <c r="BY57" s="31">
        <v>5.0043101934775004E-4</v>
      </c>
      <c r="BZ57" s="31">
        <v>9.41991264111917E-4</v>
      </c>
      <c r="CA57" s="31">
        <v>1.53072844533504E-3</v>
      </c>
      <c r="CB57" s="31">
        <v>1.1186035878626699E-3</v>
      </c>
      <c r="CC57" s="31">
        <v>1.41301633155517E-3</v>
      </c>
      <c r="CD57" s="31">
        <v>1.7073702044730799E-3</v>
      </c>
      <c r="CE57" s="31">
        <v>1.70734076908579E-3</v>
      </c>
      <c r="CF57" s="31">
        <v>4.1209542208508299E-4</v>
      </c>
      <c r="CG57" s="32">
        <v>1.6190346072104201E-3</v>
      </c>
    </row>
    <row r="58" spans="1:85" x14ac:dyDescent="0.3">
      <c r="A58" s="30" t="s">
        <v>157</v>
      </c>
      <c r="B58" s="31">
        <v>1.05633321257115E-2</v>
      </c>
      <c r="C58" s="31">
        <v>3.0642185996188798E-3</v>
      </c>
      <c r="D58" s="31">
        <v>3.0418536729739701E-3</v>
      </c>
      <c r="E58" s="31" t="s">
        <v>136</v>
      </c>
      <c r="F58" s="31">
        <v>1.6955432377597699E-2</v>
      </c>
      <c r="G58" s="31">
        <v>1.79620553609584E-2</v>
      </c>
      <c r="H58" s="31">
        <v>6.6018900298621301E-3</v>
      </c>
      <c r="I58" s="31" t="s">
        <v>136</v>
      </c>
      <c r="J58" s="31" t="s">
        <v>136</v>
      </c>
      <c r="K58" s="31">
        <v>1.3201139391734601E-3</v>
      </c>
      <c r="L58" s="31">
        <v>5.2115199366498102E-3</v>
      </c>
      <c r="M58" s="31">
        <v>8.7457151047847896E-3</v>
      </c>
      <c r="N58" s="31">
        <v>7.8510062143552304E-3</v>
      </c>
      <c r="O58" s="31">
        <v>3.3503596371709499E-3</v>
      </c>
      <c r="P58" s="31">
        <v>1.5322412528766399E-2</v>
      </c>
      <c r="Q58" s="31">
        <v>6.3075131668835303E-3</v>
      </c>
      <c r="R58" s="31">
        <v>6.1285713887976202E-3</v>
      </c>
      <c r="S58" s="31" t="s">
        <v>136</v>
      </c>
      <c r="T58" s="31">
        <v>5.3457318614459001E-3</v>
      </c>
      <c r="U58" s="31">
        <v>3.42205742593741E-3</v>
      </c>
      <c r="V58" s="31">
        <v>6.3410503632609101E-3</v>
      </c>
      <c r="W58" s="31">
        <v>4.9077254699507002E-2</v>
      </c>
      <c r="X58" s="31">
        <v>2.0466937365334999E-2</v>
      </c>
      <c r="Y58" s="31">
        <v>1.2906418963023599E-2</v>
      </c>
      <c r="Z58" s="31">
        <v>3.0195111112557098E-3</v>
      </c>
      <c r="AA58" s="31" t="s">
        <v>136</v>
      </c>
      <c r="AB58" s="31">
        <v>2.8405246033165001E-3</v>
      </c>
      <c r="AC58" s="31">
        <v>3.2431380127781401E-3</v>
      </c>
      <c r="AD58" s="31">
        <v>2.9300290397494301E-3</v>
      </c>
      <c r="AE58" s="31">
        <v>4.3615408995100703E-3</v>
      </c>
      <c r="AF58" s="31">
        <v>6.8220406692762903E-3</v>
      </c>
      <c r="AG58" s="31">
        <v>1.05351776154972E-2</v>
      </c>
      <c r="AH58" s="31">
        <v>8.1420596348421304E-3</v>
      </c>
      <c r="AI58" s="32"/>
      <c r="AJ58" s="31"/>
      <c r="AK58" s="31" t="s">
        <v>136</v>
      </c>
      <c r="AL58" s="31">
        <v>3.21543601803005E-3</v>
      </c>
      <c r="AM58" s="31">
        <v>1.32666273471559E-3</v>
      </c>
      <c r="AN58" s="31">
        <v>1.0456209505297199E-2</v>
      </c>
      <c r="AO58" s="31">
        <v>4.0698998110363701E-3</v>
      </c>
      <c r="AP58" s="31">
        <v>1.3941133025247401E-3</v>
      </c>
      <c r="AQ58" s="31">
        <v>3.9124926692924201E-3</v>
      </c>
      <c r="AR58" s="31">
        <v>2.8107326111751398E-3</v>
      </c>
      <c r="AS58" s="31">
        <v>1.16925559297164E-3</v>
      </c>
      <c r="AT58" s="31">
        <v>5.8463678989485899E-3</v>
      </c>
      <c r="AU58" s="31">
        <v>7.1730756007093903E-3</v>
      </c>
      <c r="AV58" s="31">
        <v>5.0593546737514204E-3</v>
      </c>
      <c r="AW58" s="31">
        <v>5.3516404675910704E-3</v>
      </c>
      <c r="AX58" s="31">
        <v>9.9165375122562092E-3</v>
      </c>
      <c r="AY58" s="31">
        <v>5.0818157128318603E-3</v>
      </c>
      <c r="AZ58" s="31">
        <v>2.7432820433659902E-3</v>
      </c>
      <c r="BA58" s="31">
        <v>8.9934090412201499E-5</v>
      </c>
      <c r="BB58" s="31">
        <v>1.00739221704776E-2</v>
      </c>
      <c r="BC58" s="31">
        <v>2.0236969024553602E-3</v>
      </c>
      <c r="BD58" s="31">
        <v>2.90066670158734E-3</v>
      </c>
      <c r="BE58" s="31"/>
      <c r="BF58" s="31">
        <v>1.4886497700137899E-2</v>
      </c>
      <c r="BG58" s="31">
        <v>7.7128150443182197E-3</v>
      </c>
      <c r="BH58" s="31">
        <v>2.6982475475920798E-4</v>
      </c>
      <c r="BI58" s="31">
        <v>0.135689205569062</v>
      </c>
      <c r="BJ58" s="31">
        <v>2.11365347639017E-3</v>
      </c>
      <c r="BK58" s="31">
        <v>2.0686864311840599E-3</v>
      </c>
      <c r="BL58" s="31">
        <v>2.1361145154706099E-3</v>
      </c>
      <c r="BM58" s="31" t="s">
        <v>136</v>
      </c>
      <c r="BN58" s="31">
        <v>1.5289919546204399E-3</v>
      </c>
      <c r="BO58" s="31">
        <v>6.6333811241457699E-3</v>
      </c>
      <c r="BP58" s="32">
        <v>1.7832581117383398E-2</v>
      </c>
      <c r="BQ58" s="31">
        <v>5.9363694399286E-3</v>
      </c>
      <c r="BR58" s="31">
        <v>2.1586205215962701E-3</v>
      </c>
      <c r="BS58" s="31">
        <v>9.6688140602157904E-4</v>
      </c>
      <c r="BT58" s="31">
        <v>1.32664025119299E-3</v>
      </c>
      <c r="BU58" s="31">
        <v>1.6843193705236199E-2</v>
      </c>
      <c r="BV58" s="31">
        <v>2.2710831016567201E-3</v>
      </c>
      <c r="BW58" s="31">
        <v>1.6414545346808999E-3</v>
      </c>
      <c r="BX58" s="31">
        <v>5.2209415023472802E-2</v>
      </c>
      <c r="BY58" s="31">
        <v>3.5918776369729198E-2</v>
      </c>
      <c r="BZ58" s="31" t="s">
        <v>136</v>
      </c>
      <c r="CA58" s="31">
        <v>9.6688140602157904E-4</v>
      </c>
      <c r="CB58" s="31">
        <v>6.8809696750505604E-3</v>
      </c>
      <c r="CC58" s="31">
        <v>1.0029157476974899E-2</v>
      </c>
      <c r="CD58" s="31">
        <v>1.3941357860473499E-3</v>
      </c>
      <c r="CE58" s="31">
        <v>6.5208960605627104E-4</v>
      </c>
      <c r="CF58" s="31">
        <v>1.62588019857377E-2</v>
      </c>
      <c r="CG58" s="32">
        <v>1.19173911557469E-3</v>
      </c>
    </row>
    <row r="59" spans="1:85" x14ac:dyDescent="0.3">
      <c r="A59" s="30" t="s">
        <v>158</v>
      </c>
      <c r="B59" s="31">
        <v>2.28570938414418E-2</v>
      </c>
      <c r="C59" s="31">
        <v>1.3502412485148101E-2</v>
      </c>
      <c r="D59" s="31">
        <v>3.8784095470408499E-3</v>
      </c>
      <c r="E59" s="31">
        <v>1.37603975906737E-2</v>
      </c>
      <c r="F59" s="31">
        <v>1.4253424163668401E-2</v>
      </c>
      <c r="G59" s="31">
        <v>1.6187643907755699E-2</v>
      </c>
      <c r="H59" s="31">
        <v>1.43302627300312E-2</v>
      </c>
      <c r="I59" s="31">
        <v>1.33172183910845E-2</v>
      </c>
      <c r="J59" s="31">
        <v>6.3075181253937599E-4</v>
      </c>
      <c r="K59" s="31">
        <v>1.8150404119176001E-2</v>
      </c>
      <c r="L59" s="31">
        <v>1.3367795447430201E-2</v>
      </c>
      <c r="M59" s="31">
        <v>2.1275425843879699E-2</v>
      </c>
      <c r="N59" s="31">
        <v>9.8611388055592792E-3</v>
      </c>
      <c r="O59" s="31">
        <v>1.9069308145553701E-2</v>
      </c>
      <c r="P59" s="31">
        <v>1.9425774574962799E-2</v>
      </c>
      <c r="Q59" s="31">
        <v>3.5785925992732701E-3</v>
      </c>
      <c r="R59" s="31">
        <v>7.73377749496888E-3</v>
      </c>
      <c r="S59" s="31">
        <v>3.2524035099452703E-2</v>
      </c>
      <c r="T59" s="31">
        <v>9.2023714145751095E-3</v>
      </c>
      <c r="U59" s="31">
        <v>8.0477847822023607E-3</v>
      </c>
      <c r="V59" s="31">
        <v>1.3063606229080999E-2</v>
      </c>
      <c r="W59" s="31">
        <v>4.4344320776953397E-2</v>
      </c>
      <c r="X59" s="31">
        <v>1.8572627273755998E-2</v>
      </c>
      <c r="Y59" s="31">
        <v>1.5908949606009502E-2</v>
      </c>
      <c r="Z59" s="31">
        <v>9.9910186491140602E-3</v>
      </c>
      <c r="AA59" s="31">
        <v>1.1839785562282599E-2</v>
      </c>
      <c r="AB59" s="31">
        <v>8.4680567522526992E-3</v>
      </c>
      <c r="AC59" s="31">
        <v>4.7141171588704397E-3</v>
      </c>
      <c r="AD59" s="31">
        <v>3.9445178350916302E-3</v>
      </c>
      <c r="AE59" s="31">
        <v>9.4904197275161601E-3</v>
      </c>
      <c r="AF59" s="31">
        <v>8.1233462155560297E-3</v>
      </c>
      <c r="AG59" s="31">
        <v>1.7255155388226001E-2</v>
      </c>
      <c r="AH59" s="31">
        <v>2.35958102558428E-2</v>
      </c>
      <c r="AI59" s="32"/>
      <c r="AJ59" s="31"/>
      <c r="AK59" s="31">
        <v>6.5440435076806001E-3</v>
      </c>
      <c r="AL59" s="31">
        <v>7.9412488648915903E-3</v>
      </c>
      <c r="AM59" s="31">
        <v>6.2689865856080697E-3</v>
      </c>
      <c r="AN59" s="31">
        <v>3.66470626775987E-3</v>
      </c>
      <c r="AO59" s="31">
        <v>1.3792929380868299E-2</v>
      </c>
      <c r="AP59" s="31">
        <v>9.5437877172969698E-3</v>
      </c>
      <c r="AQ59" s="31">
        <v>5.1840209226774198E-3</v>
      </c>
      <c r="AR59" s="31">
        <v>1.7951022685516901E-2</v>
      </c>
      <c r="AS59" s="31">
        <v>4.9198785421210702E-3</v>
      </c>
      <c r="AT59" s="31">
        <v>2.4864504108644801E-2</v>
      </c>
      <c r="AU59" s="31">
        <v>1.37938983983514E-3</v>
      </c>
      <c r="AV59" s="31">
        <v>3.9179275593846001E-3</v>
      </c>
      <c r="AW59" s="31">
        <v>6.4567271755511203E-3</v>
      </c>
      <c r="AX59" s="31">
        <v>2.7796561137580798E-2</v>
      </c>
      <c r="AY59" s="31">
        <v>6.1052488206190204E-3</v>
      </c>
      <c r="AZ59" s="31">
        <v>1.0626749871107099E-2</v>
      </c>
      <c r="BA59" s="31">
        <v>1.3335513844333401E-3</v>
      </c>
      <c r="BB59" s="31">
        <v>1.5670976927010601E-3</v>
      </c>
      <c r="BC59" s="31">
        <v>5.0355779201249704E-3</v>
      </c>
      <c r="BD59" s="31">
        <v>1.73416809214226E-2</v>
      </c>
      <c r="BE59" s="31"/>
      <c r="BF59" s="31">
        <v>2.3158313122620601E-2</v>
      </c>
      <c r="BG59" s="31">
        <v>1.0270858558177399E-2</v>
      </c>
      <c r="BH59" s="31">
        <v>4.2868416815978003E-3</v>
      </c>
      <c r="BI59" s="31">
        <v>6.4028151021867499E-2</v>
      </c>
      <c r="BJ59" s="31">
        <v>1.6806626132758799E-2</v>
      </c>
      <c r="BK59" s="31">
        <v>4.9307865362218303E-3</v>
      </c>
      <c r="BL59" s="31">
        <v>3.1539423903288299E-3</v>
      </c>
      <c r="BM59" s="31">
        <v>4.1904113471944701E-4</v>
      </c>
      <c r="BN59" s="31">
        <v>1.99429166910974E-2</v>
      </c>
      <c r="BO59" s="31">
        <v>5.5878720536070899E-3</v>
      </c>
      <c r="BP59" s="32">
        <v>9.0743969579467794E-3</v>
      </c>
      <c r="BQ59" s="31">
        <v>3.3853215040903399E-3</v>
      </c>
      <c r="BR59" s="31">
        <v>2.0363640511581499E-3</v>
      </c>
      <c r="BS59" s="31">
        <v>9.8974921934741195E-3</v>
      </c>
      <c r="BT59" s="31">
        <v>5.5987996899541301E-3</v>
      </c>
      <c r="BU59" s="31">
        <v>3.2761695415130698E-3</v>
      </c>
      <c r="BV59" s="31">
        <v>4.8281950839020402E-3</v>
      </c>
      <c r="BW59" s="31">
        <v>3.64070344280586E-3</v>
      </c>
      <c r="BX59" s="31">
        <v>3.0535377747615299E-3</v>
      </c>
      <c r="BY59" s="31">
        <v>6.2777339326180398E-3</v>
      </c>
      <c r="BZ59" s="31">
        <v>5.3019726115880704E-3</v>
      </c>
      <c r="CA59" s="31">
        <v>1.6151445913262698E-2</v>
      </c>
      <c r="CB59" s="31">
        <v>1.6489999670142599E-2</v>
      </c>
      <c r="CC59" s="31">
        <v>5.17966689141871E-3</v>
      </c>
      <c r="CD59" s="31">
        <v>3.42678628598716E-3</v>
      </c>
      <c r="CE59" s="31">
        <v>5.2888057591651298E-3</v>
      </c>
      <c r="CF59" s="31">
        <v>2.78286107360941E-3</v>
      </c>
      <c r="CG59" s="32">
        <v>1.3618211600208799E-2</v>
      </c>
    </row>
    <row r="60" spans="1:85" x14ac:dyDescent="0.3">
      <c r="A60" s="30" t="s">
        <v>159</v>
      </c>
      <c r="B60" s="31">
        <v>4.3162250357839304E-3</v>
      </c>
      <c r="C60" s="31">
        <v>5.48738292627676E-3</v>
      </c>
      <c r="D60" s="31">
        <v>2.99317238110334E-3</v>
      </c>
      <c r="E60" s="31">
        <v>1.1225812172900199E-2</v>
      </c>
      <c r="F60" s="31">
        <v>5.7869994816251999E-3</v>
      </c>
      <c r="G60" s="31">
        <v>8.18153738650787E-3</v>
      </c>
      <c r="H60" s="31">
        <v>1.1225812172900199E-2</v>
      </c>
      <c r="I60" s="31">
        <v>1.1225812172900199E-2</v>
      </c>
      <c r="J60" s="31">
        <v>8.90028011941279E-5</v>
      </c>
      <c r="K60" s="31">
        <v>5.1815426600047097E-3</v>
      </c>
      <c r="L60" s="31">
        <v>2.1951926243011901E-3</v>
      </c>
      <c r="M60" s="31">
        <v>9.9792367185985394E-4</v>
      </c>
      <c r="N60" s="31">
        <v>2.2945659473538201E-3</v>
      </c>
      <c r="O60" s="31">
        <v>3.3062395997806599E-3</v>
      </c>
      <c r="P60" s="31">
        <v>1.6962307883712599E-3</v>
      </c>
      <c r="Q60" s="31">
        <v>3.5918068573240099E-3</v>
      </c>
      <c r="R60" s="31">
        <v>2.69385514299301E-3</v>
      </c>
      <c r="S60" s="31">
        <v>1.8135399310016499E-2</v>
      </c>
      <c r="T60" s="31">
        <v>2.9931723811033397E-4</v>
      </c>
      <c r="U60" s="31">
        <v>4.9896183592992697E-4</v>
      </c>
      <c r="V60" s="31">
        <v>1.3583114249711099E-2</v>
      </c>
      <c r="W60" s="31">
        <v>8.8951542844300902E-2</v>
      </c>
      <c r="X60" s="31">
        <v>2.1591488264239601E-2</v>
      </c>
      <c r="Y60" s="31">
        <v>2.0653188746851198E-2</v>
      </c>
      <c r="Z60" s="31">
        <v>6.9830711651140904E-4</v>
      </c>
      <c r="AA60" s="31">
        <v>1.2951265878681799E-2</v>
      </c>
      <c r="AB60" s="31">
        <v>2.0952206667723401E-3</v>
      </c>
      <c r="AC60" s="31">
        <v>1.8955760689527499E-3</v>
      </c>
      <c r="AD60" s="31">
        <v>9.9672640290741099E-5</v>
      </c>
      <c r="AE60" s="31">
        <v>2.3945379048826701E-3</v>
      </c>
      <c r="AF60" s="31">
        <v>1.23719787200526E-2</v>
      </c>
      <c r="AG60" s="31">
        <v>1.3968237550894999E-2</v>
      </c>
      <c r="AH60" s="31">
        <v>2.4179668822912E-2</v>
      </c>
      <c r="AI60" s="32"/>
      <c r="AJ60" s="31"/>
      <c r="AK60" s="31">
        <v>4.4678333876546298E-3</v>
      </c>
      <c r="AL60" s="31">
        <v>1.1615937878739599E-3</v>
      </c>
      <c r="AM60" s="31">
        <v>1.9658359673389802E-3</v>
      </c>
      <c r="AN60" s="31">
        <v>1.1615937878739599E-3</v>
      </c>
      <c r="AO60" s="31">
        <v>1.9658359673389802E-3</v>
      </c>
      <c r="AP60" s="31">
        <v>8.9351306138562799E-4</v>
      </c>
      <c r="AQ60" s="31">
        <v>1.1795820046213301E-2</v>
      </c>
      <c r="AR60" s="31">
        <v>2.41272653839503E-3</v>
      </c>
      <c r="AS60" s="31">
        <v>2.0551068492595899E-3</v>
      </c>
      <c r="AT60" s="31">
        <v>2.3234556564744198E-3</v>
      </c>
      <c r="AU60" s="31">
        <v>9.8278394330624397E-4</v>
      </c>
      <c r="AV60" s="31">
        <v>1.7870261227712601E-3</v>
      </c>
      <c r="AW60" s="31">
        <v>8.1319607572972203E-3</v>
      </c>
      <c r="AX60" s="31">
        <v>7.1470321681790696E-4</v>
      </c>
      <c r="AY60" s="31">
        <v>2.7698100660775E-3</v>
      </c>
      <c r="AZ60" s="31">
        <v>2.41272653839503E-3</v>
      </c>
      <c r="BA60" s="31">
        <v>1.4296745143623001E-3</v>
      </c>
      <c r="BB60" s="31">
        <v>6.2543233489729098E-4</v>
      </c>
      <c r="BC60" s="31">
        <v>2.1446458119067E-3</v>
      </c>
      <c r="BD60" s="31">
        <v>2.2339166938273101E-3</v>
      </c>
      <c r="BE60" s="31"/>
      <c r="BF60" s="31">
        <v>1.8676916133715998E-2</v>
      </c>
      <c r="BG60" s="31">
        <v>1.01873356872833E-2</v>
      </c>
      <c r="BH60" s="31">
        <v>1.69775524085064E-3</v>
      </c>
      <c r="BI60" s="31">
        <v>4.9147239587106796E-3</v>
      </c>
      <c r="BJ60" s="31">
        <v>3.0381588732923299E-3</v>
      </c>
      <c r="BK60" s="31">
        <v>2.8593490287246001E-3</v>
      </c>
      <c r="BL60" s="31">
        <v>1.07205482522686E-3</v>
      </c>
      <c r="BM60" s="31" t="s">
        <v>136</v>
      </c>
      <c r="BN60" s="31">
        <v>2.5019974203156501E-3</v>
      </c>
      <c r="BO60" s="31">
        <v>2.41272653839503E-3</v>
      </c>
      <c r="BP60" s="32">
        <v>9.1147447006034599E-3</v>
      </c>
      <c r="BQ60" s="31">
        <v>8.9324498065913903E-4</v>
      </c>
      <c r="BR60" s="31">
        <v>5.3616145297667402E-4</v>
      </c>
      <c r="BS60" s="31">
        <v>8.0424217946501201E-4</v>
      </c>
      <c r="BT60" s="31">
        <v>1.1615937878739599E-3</v>
      </c>
      <c r="BU60" s="31">
        <v>1.87629700469187E-3</v>
      </c>
      <c r="BV60" s="31">
        <v>9.8305202403273294E-4</v>
      </c>
      <c r="BW60" s="31">
        <v>1.8765650854183601E-3</v>
      </c>
      <c r="BX60" s="31">
        <v>1.8765650854183601E-3</v>
      </c>
      <c r="BY60" s="31">
        <v>2.2339166938273101E-3</v>
      </c>
      <c r="BZ60" s="31">
        <v>6.2543233489729098E-4</v>
      </c>
      <c r="CA60" s="31">
        <v>1.16186186860045E-3</v>
      </c>
      <c r="CB60" s="31">
        <v>4.7361821948694498E-3</v>
      </c>
      <c r="CC60" s="31">
        <v>1.51921347700941E-3</v>
      </c>
      <c r="CD60" s="31">
        <v>1.3404036324416899E-3</v>
      </c>
      <c r="CE60" s="31" t="s">
        <v>136</v>
      </c>
      <c r="CF60" s="31">
        <v>2.41272653839503E-3</v>
      </c>
      <c r="CG60" s="32">
        <v>7.1470321681790696E-4</v>
      </c>
    </row>
    <row r="61" spans="1:85" x14ac:dyDescent="0.3">
      <c r="A61" s="30" t="s">
        <v>160</v>
      </c>
      <c r="B61" s="31">
        <v>0.234429721950798</v>
      </c>
      <c r="C61" s="31">
        <v>0.90226697598807304</v>
      </c>
      <c r="D61" s="31">
        <v>0.13281795279251499</v>
      </c>
      <c r="E61" s="31">
        <v>0.59709179752389696</v>
      </c>
      <c r="F61" s="31">
        <v>1.14742693227651</v>
      </c>
      <c r="G61" s="31">
        <v>0.88835219313702496</v>
      </c>
      <c r="H61" s="31">
        <v>0.48586453495285098</v>
      </c>
      <c r="I61" s="31">
        <v>0.35339132737905699</v>
      </c>
      <c r="J61" s="31">
        <v>5.4943196966791505E-4</v>
      </c>
      <c r="K61" s="31">
        <v>0.68408189863948199</v>
      </c>
      <c r="L61" s="31">
        <v>0.371271549265207</v>
      </c>
      <c r="M61" s="31">
        <v>0.35102349464300198</v>
      </c>
      <c r="N61" s="31">
        <v>0.23491151375224101</v>
      </c>
      <c r="O61" s="31">
        <v>0.48412518171058599</v>
      </c>
      <c r="P61" s="31">
        <v>4.7868370677466902E-2</v>
      </c>
      <c r="Q61" s="31">
        <v>0.10081830442998301</v>
      </c>
      <c r="R61" s="31">
        <v>0.387474199169901</v>
      </c>
      <c r="S61" s="31">
        <v>0.75337367119939302</v>
      </c>
      <c r="T61" s="31">
        <v>0.128980613034539</v>
      </c>
      <c r="U61" s="31">
        <v>0.20576505584781801</v>
      </c>
      <c r="V61" s="31">
        <v>0.25909892232916898</v>
      </c>
      <c r="W61" s="31">
        <v>13.5260762178749</v>
      </c>
      <c r="X61" s="31">
        <v>1.78732061083773</v>
      </c>
      <c r="Y61" s="31">
        <v>1.43470934590829</v>
      </c>
      <c r="Z61" s="31">
        <v>0.24207947521794301</v>
      </c>
      <c r="AA61" s="31">
        <v>0.33792971495448698</v>
      </c>
      <c r="AB61" s="31">
        <v>0.21345546441243601</v>
      </c>
      <c r="AC61" s="31">
        <v>0.12795326309545901</v>
      </c>
      <c r="AD61" s="31">
        <v>0.57728707083994202</v>
      </c>
      <c r="AE61" s="31">
        <v>0.67316739372505296</v>
      </c>
      <c r="AF61" s="31">
        <v>0.478714764936083</v>
      </c>
      <c r="AG61" s="31">
        <v>1.40464313367872</v>
      </c>
      <c r="AH61" s="31">
        <v>0.483094270994613</v>
      </c>
      <c r="AI61" s="32"/>
      <c r="AJ61" s="31"/>
      <c r="AK61" s="31">
        <v>0.36513954582255498</v>
      </c>
      <c r="AL61" s="31">
        <v>0.29859238665111398</v>
      </c>
      <c r="AM61" s="31">
        <v>1.8396009672604099E-2</v>
      </c>
      <c r="AN61" s="31">
        <v>0.26126858193095298</v>
      </c>
      <c r="AO61" s="31">
        <v>0.25343824680751098</v>
      </c>
      <c r="AP61" s="31">
        <v>0.21277554206042801</v>
      </c>
      <c r="AQ61" s="31">
        <v>0.22311593248921099</v>
      </c>
      <c r="AR61" s="31">
        <v>0.38890660483599698</v>
      </c>
      <c r="AS61" s="31">
        <v>0.223439175174695</v>
      </c>
      <c r="AT61" s="31">
        <v>0.382205001597757</v>
      </c>
      <c r="AU61" s="31">
        <v>8.5952051794198903E-2</v>
      </c>
      <c r="AV61" s="31">
        <v>0.21359199653253899</v>
      </c>
      <c r="AW61" s="31">
        <v>0.11536289321786</v>
      </c>
      <c r="AX61" s="31">
        <v>0.18851235243504599</v>
      </c>
      <c r="AY61" s="31">
        <v>0.48224429149960701</v>
      </c>
      <c r="AZ61" s="31">
        <v>0.30291836206761702</v>
      </c>
      <c r="BA61" s="31">
        <v>7.7743158146143399E-4</v>
      </c>
      <c r="BB61" s="31">
        <v>3.9874976107450701E-2</v>
      </c>
      <c r="BC61" s="31">
        <v>0.37210509039876499</v>
      </c>
      <c r="BD61" s="31">
        <v>0.34759697689414998</v>
      </c>
      <c r="BE61" s="31"/>
      <c r="BF61" s="31">
        <v>1.4673451039562999</v>
      </c>
      <c r="BG61" s="31">
        <v>1.5759871018124401</v>
      </c>
      <c r="BH61" s="31">
        <v>0.18431352957602701</v>
      </c>
      <c r="BI61" s="31">
        <v>0.85312836593963504</v>
      </c>
      <c r="BJ61" s="31">
        <v>0.528427323824749</v>
      </c>
      <c r="BK61" s="31">
        <v>0.68982775248512096</v>
      </c>
      <c r="BL61" s="31">
        <v>0.20983643009289499</v>
      </c>
      <c r="BM61" s="31">
        <v>4.8300901635222498E-4</v>
      </c>
      <c r="BN61" s="31">
        <v>0.22977192744216601</v>
      </c>
      <c r="BO61" s="31">
        <v>3.8076287724260499E-2</v>
      </c>
      <c r="BP61" s="32">
        <v>0.108259069292507</v>
      </c>
      <c r="BQ61" s="31">
        <v>0.14411510662929999</v>
      </c>
      <c r="BR61" s="31">
        <v>0.15622721828303501</v>
      </c>
      <c r="BS61" s="31">
        <v>0.17616949616189301</v>
      </c>
      <c r="BT61" s="31">
        <v>0.101859508721187</v>
      </c>
      <c r="BU61" s="31">
        <v>3.16404829183967</v>
      </c>
      <c r="BV61" s="31">
        <v>0.105597588445593</v>
      </c>
      <c r="BW61" s="31">
        <v>0.21058036979369399</v>
      </c>
      <c r="BX61" s="31">
        <v>0.236999472665472</v>
      </c>
      <c r="BY61" s="31">
        <v>5.8718232627180497E-2</v>
      </c>
      <c r="BZ61" s="31">
        <v>3.3881060103722299E-2</v>
      </c>
      <c r="CA61" s="31">
        <v>0.108290772982719</v>
      </c>
      <c r="CB61" s="31">
        <v>0.17417533667123999</v>
      </c>
      <c r="CC61" s="31">
        <v>0.667369183181449</v>
      </c>
      <c r="CD61" s="31">
        <v>1.4960004591013901E-3</v>
      </c>
      <c r="CE61" s="31">
        <v>8.00231501646049E-2</v>
      </c>
      <c r="CF61" s="31">
        <v>7.9317021550013994E-2</v>
      </c>
      <c r="CG61" s="32">
        <v>2.9188215402062501E-2</v>
      </c>
    </row>
    <row r="62" spans="1:85" x14ac:dyDescent="0.3">
      <c r="A62" s="30" t="s">
        <v>161</v>
      </c>
      <c r="B62" s="31" t="s">
        <v>136</v>
      </c>
      <c r="C62" s="31" t="s">
        <v>136</v>
      </c>
      <c r="D62" s="31" t="s">
        <v>136</v>
      </c>
      <c r="E62" s="31" t="s">
        <v>136</v>
      </c>
      <c r="F62" s="31" t="s">
        <v>136</v>
      </c>
      <c r="G62" s="31" t="s">
        <v>136</v>
      </c>
      <c r="H62" s="31" t="s">
        <v>136</v>
      </c>
      <c r="I62" s="31" t="s">
        <v>136</v>
      </c>
      <c r="J62" s="31" t="s">
        <v>136</v>
      </c>
      <c r="K62" s="31" t="s">
        <v>136</v>
      </c>
      <c r="L62" s="31" t="s">
        <v>136</v>
      </c>
      <c r="M62" s="31" t="s">
        <v>136</v>
      </c>
      <c r="N62" s="31" t="s">
        <v>136</v>
      </c>
      <c r="O62" s="31" t="s">
        <v>136</v>
      </c>
      <c r="P62" s="31" t="s">
        <v>136</v>
      </c>
      <c r="Q62" s="31" t="s">
        <v>136</v>
      </c>
      <c r="R62" s="31" t="s">
        <v>136</v>
      </c>
      <c r="S62" s="31" t="s">
        <v>136</v>
      </c>
      <c r="T62" s="31" t="s">
        <v>136</v>
      </c>
      <c r="U62" s="31" t="s">
        <v>136</v>
      </c>
      <c r="V62" s="31" t="s">
        <v>136</v>
      </c>
      <c r="W62" s="31">
        <v>2.1879884715976499E-3</v>
      </c>
      <c r="X62" s="31" t="s">
        <v>136</v>
      </c>
      <c r="Y62" s="31" t="s">
        <v>136</v>
      </c>
      <c r="Z62" s="31" t="s">
        <v>136</v>
      </c>
      <c r="AA62" s="31" t="s">
        <v>136</v>
      </c>
      <c r="AB62" s="31" t="s">
        <v>136</v>
      </c>
      <c r="AC62" s="31" t="s">
        <v>136</v>
      </c>
      <c r="AD62" s="31" t="s">
        <v>136</v>
      </c>
      <c r="AE62" s="31" t="s">
        <v>136</v>
      </c>
      <c r="AF62" s="31" t="s">
        <v>136</v>
      </c>
      <c r="AG62" s="31" t="s">
        <v>136</v>
      </c>
      <c r="AH62" s="31" t="s">
        <v>136</v>
      </c>
      <c r="AI62" s="32"/>
      <c r="AJ62" s="31"/>
      <c r="AK62" s="31" t="s">
        <v>136</v>
      </c>
      <c r="AL62" s="31">
        <v>4.38240060925715E-4</v>
      </c>
      <c r="AM62" s="31">
        <v>1.39597714360112E-3</v>
      </c>
      <c r="AN62" s="31" t="s">
        <v>136</v>
      </c>
      <c r="AO62" s="31" t="s">
        <v>136</v>
      </c>
      <c r="AP62" s="31" t="s">
        <v>136</v>
      </c>
      <c r="AQ62" s="31" t="s">
        <v>136</v>
      </c>
      <c r="AR62" s="31" t="s">
        <v>136</v>
      </c>
      <c r="AS62" s="31" t="s">
        <v>136</v>
      </c>
      <c r="AT62" s="31" t="s">
        <v>136</v>
      </c>
      <c r="AU62" s="31" t="s">
        <v>136</v>
      </c>
      <c r="AV62" s="31" t="s">
        <v>136</v>
      </c>
      <c r="AW62" s="31" t="s">
        <v>136</v>
      </c>
      <c r="AX62" s="31" t="s">
        <v>136</v>
      </c>
      <c r="AY62" s="31" t="s">
        <v>136</v>
      </c>
      <c r="AZ62" s="31" t="s">
        <v>136</v>
      </c>
      <c r="BA62" s="31" t="s">
        <v>136</v>
      </c>
      <c r="BB62" s="31" t="s">
        <v>136</v>
      </c>
      <c r="BC62" s="31" t="s">
        <v>136</v>
      </c>
      <c r="BD62" s="31" t="s">
        <v>136</v>
      </c>
      <c r="BE62" s="31"/>
      <c r="BF62" s="31">
        <v>7.2664412733502298E-4</v>
      </c>
      <c r="BG62" s="31" t="s">
        <v>136</v>
      </c>
      <c r="BH62" s="31" t="s">
        <v>136</v>
      </c>
      <c r="BI62" s="31" t="s">
        <v>136</v>
      </c>
      <c r="BJ62" s="31" t="s">
        <v>136</v>
      </c>
      <c r="BK62" s="31" t="s">
        <v>136</v>
      </c>
      <c r="BL62" s="31" t="s">
        <v>136</v>
      </c>
      <c r="BM62" s="31" t="s">
        <v>136</v>
      </c>
      <c r="BN62" s="31" t="s">
        <v>136</v>
      </c>
      <c r="BO62" s="31" t="s">
        <v>136</v>
      </c>
      <c r="BP62" s="32" t="s">
        <v>136</v>
      </c>
      <c r="BQ62" s="31" t="s">
        <v>136</v>
      </c>
      <c r="BR62" s="31" t="s">
        <v>136</v>
      </c>
      <c r="BS62" s="31" t="s">
        <v>136</v>
      </c>
      <c r="BT62" s="31" t="s">
        <v>136</v>
      </c>
      <c r="BU62" s="31">
        <v>2.0796597418278699E-4</v>
      </c>
      <c r="BV62" s="31" t="s">
        <v>136</v>
      </c>
      <c r="BW62" s="31" t="s">
        <v>136</v>
      </c>
      <c r="BX62" s="31" t="s">
        <v>136</v>
      </c>
      <c r="BY62" s="31" t="s">
        <v>136</v>
      </c>
      <c r="BZ62" s="31" t="s">
        <v>136</v>
      </c>
      <c r="CA62" s="31" t="s">
        <v>136</v>
      </c>
      <c r="CB62" s="31" t="s">
        <v>136</v>
      </c>
      <c r="CC62" s="31" t="s">
        <v>136</v>
      </c>
      <c r="CD62" s="31" t="s">
        <v>136</v>
      </c>
      <c r="CE62" s="31" t="s">
        <v>136</v>
      </c>
      <c r="CF62" s="31" t="s">
        <v>136</v>
      </c>
      <c r="CG62" s="32" t="s">
        <v>136</v>
      </c>
    </row>
    <row r="63" spans="1:85" x14ac:dyDescent="0.3">
      <c r="A63" s="30" t="s">
        <v>162</v>
      </c>
      <c r="B63" s="31">
        <v>2.0233488740448299E-3</v>
      </c>
      <c r="C63" s="31">
        <v>2.9620562023912201E-4</v>
      </c>
      <c r="D63" s="31">
        <v>6.2886731681536796E-4</v>
      </c>
      <c r="E63" s="31">
        <v>2.2532748824590099E-3</v>
      </c>
      <c r="F63" s="31">
        <v>2.4607851527557898E-4</v>
      </c>
      <c r="G63" s="31">
        <v>1.9822991508310501E-4</v>
      </c>
      <c r="H63" s="31">
        <v>2.6901342984459601E-3</v>
      </c>
      <c r="I63" s="31">
        <v>3.2189641177985898E-3</v>
      </c>
      <c r="J63" s="31">
        <v>3.7061895066107202E-4</v>
      </c>
      <c r="K63" s="31">
        <v>4.4375719623937701E-3</v>
      </c>
      <c r="L63" s="31">
        <v>3.1899066794982398E-4</v>
      </c>
      <c r="M63" s="31">
        <v>4.8304301146687698E-4</v>
      </c>
      <c r="N63" s="31">
        <v>2.34685991420228E-4</v>
      </c>
      <c r="O63" s="31">
        <v>2.7679136821523101E-4</v>
      </c>
      <c r="P63" s="31">
        <v>1.7544486737240301E-4</v>
      </c>
      <c r="Q63" s="31">
        <v>1.55394025386986E-3</v>
      </c>
      <c r="R63" s="31">
        <v>9.4557947999412105E-4</v>
      </c>
      <c r="S63" s="31">
        <v>1.77043026478922E-3</v>
      </c>
      <c r="T63" s="31">
        <v>2.8253459161270102E-4</v>
      </c>
      <c r="U63" s="31">
        <v>2.4380001050450801E-4</v>
      </c>
      <c r="V63" s="31">
        <v>4.5506377486232899E-4</v>
      </c>
      <c r="W63" s="31">
        <v>4.3915867607109303E-3</v>
      </c>
      <c r="X63" s="31">
        <v>1.5634968572164601E-3</v>
      </c>
      <c r="Y63" s="31">
        <v>5.2861310688827995E-4</v>
      </c>
      <c r="Z63" s="31">
        <v>6.4481685021285898E-4</v>
      </c>
      <c r="AA63" s="31">
        <v>2.9890381093843998E-3</v>
      </c>
      <c r="AB63" s="31">
        <v>2.6658505821521001E-4</v>
      </c>
      <c r="AC63" s="31">
        <v>6.9950096471854304E-4</v>
      </c>
      <c r="AD63" s="31">
        <v>7.6557760307957795E-4</v>
      </c>
      <c r="AE63" s="31">
        <v>1.41039445329244E-3</v>
      </c>
      <c r="AF63" s="31">
        <v>1.5265981966170201E-4</v>
      </c>
      <c r="AG63" s="31">
        <v>2.5063552481771899E-4</v>
      </c>
      <c r="AH63" s="31">
        <v>2.7591121009702198E-3</v>
      </c>
      <c r="AI63" s="32"/>
      <c r="AJ63" s="31"/>
      <c r="AK63" s="31">
        <v>1.21975857179593E-4</v>
      </c>
      <c r="AL63" s="31">
        <v>1.5200068356226201E-3</v>
      </c>
      <c r="AM63" s="31">
        <v>2.4559838843111101E-3</v>
      </c>
      <c r="AN63" s="31">
        <v>1.5950689015792999E-4</v>
      </c>
      <c r="AO63" s="31">
        <v>1.7827240664709801E-4</v>
      </c>
      <c r="AP63" s="31">
        <v>2.3456895611460201E-4</v>
      </c>
      <c r="AQ63" s="31">
        <v>1.54815511035638E-4</v>
      </c>
      <c r="AR63" s="31">
        <v>1.7123533796366001E-4</v>
      </c>
      <c r="AS63" s="31">
        <v>6.8024997273234699E-4</v>
      </c>
      <c r="AT63" s="31">
        <v>2.6740860997064697E-4</v>
      </c>
      <c r="AU63" s="31">
        <v>1.2432154674073899E-4</v>
      </c>
      <c r="AV63" s="31">
        <v>7.9753445078964807E-5</v>
      </c>
      <c r="AW63" s="31">
        <v>9.3827582445840996E-5</v>
      </c>
      <c r="AX63" s="31">
        <v>7.9988014035079402E-4</v>
      </c>
      <c r="AY63" s="31">
        <v>2.7046504346882002E-3</v>
      </c>
      <c r="AZ63" s="31">
        <v>1.33704304985323E-4</v>
      </c>
      <c r="BA63" s="31">
        <v>1.1470421954004101E-3</v>
      </c>
      <c r="BB63" s="31">
        <v>5.6296549467504602E-5</v>
      </c>
      <c r="BC63" s="31">
        <v>2.0642068138085001E-4</v>
      </c>
      <c r="BD63" s="31">
        <v>2.5333447260377E-4</v>
      </c>
      <c r="BE63" s="31"/>
      <c r="BF63" s="31">
        <v>2.3691464567574799E-4</v>
      </c>
      <c r="BG63" s="31">
        <v>1.40741373668761E-4</v>
      </c>
      <c r="BH63" s="31">
        <v>1.4543275279105299E-4</v>
      </c>
      <c r="BI63" s="31">
        <v>2.8851981602096097E-4</v>
      </c>
      <c r="BJ63" s="31">
        <v>4.6444653310691298E-4</v>
      </c>
      <c r="BK63" s="31">
        <v>1.9985275060964099E-3</v>
      </c>
      <c r="BL63" s="31">
        <v>1.10247409373863E-4</v>
      </c>
      <c r="BM63" s="31">
        <v>1.61852579719076E-4</v>
      </c>
      <c r="BN63" s="31">
        <v>1.4543275279105299E-4</v>
      </c>
      <c r="BO63" s="31">
        <v>4.8790342871837301E-4</v>
      </c>
      <c r="BP63" s="32">
        <v>1.9469223357511999E-4</v>
      </c>
      <c r="BQ63" s="31">
        <v>1.7076854574099201E-3</v>
      </c>
      <c r="BR63" s="31">
        <v>9.4531289314184804E-4</v>
      </c>
      <c r="BS63" s="31">
        <v>2.3738847496709999E-3</v>
      </c>
      <c r="BT63" s="31">
        <v>1.3558085663424001E-3</v>
      </c>
      <c r="BU63" s="31">
        <v>1.7123533796366001E-4</v>
      </c>
      <c r="BV63" s="31">
        <v>1.21272150311249E-3</v>
      </c>
      <c r="BW63" s="31">
        <v>1.5692897733023E-3</v>
      </c>
      <c r="BX63" s="31">
        <v>7.3654652219985099E-4</v>
      </c>
      <c r="BY63" s="31">
        <v>5.0666894520754097E-4</v>
      </c>
      <c r="BZ63" s="31">
        <v>1.53410442988511E-3</v>
      </c>
      <c r="CA63" s="31">
        <v>1.9141061387907699E-3</v>
      </c>
      <c r="CB63" s="31">
        <v>1.9047233805461799E-3</v>
      </c>
      <c r="CC63" s="31">
        <v>1.6443518392589701E-3</v>
      </c>
      <c r="CD63" s="31">
        <v>2.0196856259379501E-3</v>
      </c>
      <c r="CE63" s="31">
        <v>2.74921853634997E-3</v>
      </c>
      <c r="CF63" s="31">
        <v>3.6123619241648798E-4</v>
      </c>
      <c r="CG63" s="32">
        <v>2.7163788824939301E-3</v>
      </c>
    </row>
    <row r="64" spans="1:85" x14ac:dyDescent="0.3">
      <c r="A64" s="30" t="s">
        <v>163</v>
      </c>
      <c r="B64" s="31" t="s">
        <v>136</v>
      </c>
      <c r="C64" s="31" t="s">
        <v>136</v>
      </c>
      <c r="D64" s="31">
        <v>3.3408932523184198E-4</v>
      </c>
      <c r="E64" s="31" t="s">
        <v>136</v>
      </c>
      <c r="F64" s="31" t="s">
        <v>136</v>
      </c>
      <c r="G64" s="31" t="s">
        <v>136</v>
      </c>
      <c r="H64" s="31" t="s">
        <v>136</v>
      </c>
      <c r="I64" s="31" t="s">
        <v>136</v>
      </c>
      <c r="J64" s="31">
        <v>7.3574913647306097E-5</v>
      </c>
      <c r="K64" s="31" t="s">
        <v>136</v>
      </c>
      <c r="L64" s="31">
        <v>5.5360892585408397E-4</v>
      </c>
      <c r="M64" s="31">
        <v>7.3493543710626301E-4</v>
      </c>
      <c r="N64" s="31" t="s">
        <v>136</v>
      </c>
      <c r="O64" s="31" t="s">
        <v>136</v>
      </c>
      <c r="P64" s="31">
        <v>1.2409413820063599E-4</v>
      </c>
      <c r="Q64" s="31">
        <v>1.4508125035298601E-3</v>
      </c>
      <c r="R64" s="31">
        <v>1.3649209981998799E-3</v>
      </c>
      <c r="S64" s="31" t="s">
        <v>136</v>
      </c>
      <c r="T64" s="31">
        <v>1.0690056753369199E-3</v>
      </c>
      <c r="U64" s="31">
        <v>3.8179728469235001E-4</v>
      </c>
      <c r="V64" s="31">
        <v>2.9438060318395603E-4</v>
      </c>
      <c r="W64" s="31">
        <v>3.8206879766948601E-3</v>
      </c>
      <c r="X64" s="31" t="s">
        <v>136</v>
      </c>
      <c r="Y64" s="31">
        <v>2.3862187140763001E-3</v>
      </c>
      <c r="Z64" s="31">
        <v>1.14560181109008E-4</v>
      </c>
      <c r="AA64" s="31" t="s">
        <v>136</v>
      </c>
      <c r="AB64" s="31">
        <v>2.9587714886059399E-4</v>
      </c>
      <c r="AC64" s="31">
        <v>2.38654319309643E-4</v>
      </c>
      <c r="AD64" s="31">
        <v>4.10427786469009E-4</v>
      </c>
      <c r="AE64" s="31">
        <v>8.2086511643861E-4</v>
      </c>
      <c r="AF64" s="31">
        <v>5.5360892585408397E-4</v>
      </c>
      <c r="AG64" s="31">
        <v>1.80396974294496E-3</v>
      </c>
      <c r="AH64" s="31" t="s">
        <v>136</v>
      </c>
      <c r="AI64" s="32"/>
      <c r="AJ64" s="31"/>
      <c r="AK64" s="31" t="s">
        <v>136</v>
      </c>
      <c r="AL64" s="31" t="s">
        <v>136</v>
      </c>
      <c r="AM64" s="31">
        <v>7.4333622748830395E-4</v>
      </c>
      <c r="AN64" s="31" t="s">
        <v>136</v>
      </c>
      <c r="AO64" s="31" t="s">
        <v>136</v>
      </c>
      <c r="AP64" s="31" t="s">
        <v>136</v>
      </c>
      <c r="AQ64" s="31" t="s">
        <v>136</v>
      </c>
      <c r="AR64" s="31" t="s">
        <v>136</v>
      </c>
      <c r="AS64" s="31" t="s">
        <v>136</v>
      </c>
      <c r="AT64" s="31" t="s">
        <v>136</v>
      </c>
      <c r="AU64" s="31" t="s">
        <v>136</v>
      </c>
      <c r="AV64" s="31" t="s">
        <v>136</v>
      </c>
      <c r="AW64" s="31" t="s">
        <v>136</v>
      </c>
      <c r="AX64" s="31" t="s">
        <v>136</v>
      </c>
      <c r="AY64" s="31" t="s">
        <v>136</v>
      </c>
      <c r="AZ64" s="31" t="s">
        <v>136</v>
      </c>
      <c r="BA64" s="31" t="s">
        <v>136</v>
      </c>
      <c r="BB64" s="31" t="s">
        <v>136</v>
      </c>
      <c r="BC64" s="31">
        <v>1.5455294423091901E-4</v>
      </c>
      <c r="BD64" s="31" t="s">
        <v>136</v>
      </c>
      <c r="BE64" s="31"/>
      <c r="BF64" s="31" t="s">
        <v>136</v>
      </c>
      <c r="BG64" s="31" t="s">
        <v>136</v>
      </c>
      <c r="BH64" s="31" t="s">
        <v>136</v>
      </c>
      <c r="BI64" s="31" t="s">
        <v>136</v>
      </c>
      <c r="BJ64" s="31" t="s">
        <v>136</v>
      </c>
      <c r="BK64" s="31" t="s">
        <v>136</v>
      </c>
      <c r="BL64" s="31" t="s">
        <v>136</v>
      </c>
      <c r="BM64" s="31" t="s">
        <v>136</v>
      </c>
      <c r="BN64" s="31" t="s">
        <v>136</v>
      </c>
      <c r="BO64" s="31" t="s">
        <v>136</v>
      </c>
      <c r="BP64" s="32">
        <v>1.39837225605142E-3</v>
      </c>
      <c r="BQ64" s="31" t="s">
        <v>136</v>
      </c>
      <c r="BR64" s="31" t="s">
        <v>136</v>
      </c>
      <c r="BS64" s="31">
        <v>6.7710555907204496E-4</v>
      </c>
      <c r="BT64" s="31" t="s">
        <v>136</v>
      </c>
      <c r="BU64" s="31">
        <v>2.31843398376378E-3</v>
      </c>
      <c r="BV64" s="31" t="s">
        <v>136</v>
      </c>
      <c r="BW64" s="31">
        <v>1.47171904184085E-4</v>
      </c>
      <c r="BX64" s="31" t="s">
        <v>136</v>
      </c>
      <c r="BY64" s="31" t="s">
        <v>136</v>
      </c>
      <c r="BZ64" s="31" t="s">
        <v>136</v>
      </c>
      <c r="CA64" s="31">
        <v>8.3903954334979796E-4</v>
      </c>
      <c r="CB64" s="31">
        <v>2.64952109517665E-4</v>
      </c>
      <c r="CC64" s="31">
        <v>8.8317860436765605E-4</v>
      </c>
      <c r="CD64" s="31">
        <v>1.02303569917332E-3</v>
      </c>
      <c r="CE64" s="31">
        <v>8.9054492648817595E-4</v>
      </c>
      <c r="CF64" s="31" t="s">
        <v>136</v>
      </c>
      <c r="CG64" s="32">
        <v>5.8877592429422703E-4</v>
      </c>
    </row>
    <row r="65" spans="1:182" x14ac:dyDescent="0.3">
      <c r="A65" s="30" t="s">
        <v>164</v>
      </c>
      <c r="B65" s="31" t="s">
        <v>136</v>
      </c>
      <c r="C65" s="31">
        <v>9.2322460714195295E-2</v>
      </c>
      <c r="D65" s="31">
        <v>2.6621266786950499E-2</v>
      </c>
      <c r="E65" s="31">
        <v>6.2013292578361599E-2</v>
      </c>
      <c r="F65" s="31">
        <v>7.4613916337446101E-2</v>
      </c>
      <c r="G65" s="31">
        <v>8.8107306326759394E-2</v>
      </c>
      <c r="H65" s="31">
        <v>8.0153619418041305E-2</v>
      </c>
      <c r="I65" s="31">
        <v>0.14062178921011201</v>
      </c>
      <c r="J65" s="31">
        <v>8.9358986685653206E-5</v>
      </c>
      <c r="K65" s="31">
        <v>0.198210628222629</v>
      </c>
      <c r="L65" s="31">
        <v>0.102461707691545</v>
      </c>
      <c r="M65" s="31">
        <v>0.108338213778064</v>
      </c>
      <c r="N65" s="31">
        <v>3.96798739343866E-2</v>
      </c>
      <c r="O65" s="31">
        <v>9.9655175251577896E-2</v>
      </c>
      <c r="P65" s="31">
        <v>8.0854107068974598E-2</v>
      </c>
      <c r="Q65" s="31">
        <v>4.1503219682985801E-2</v>
      </c>
      <c r="R65" s="31">
        <v>0.123539947217652</v>
      </c>
      <c r="S65" s="31">
        <v>0.10645323078714899</v>
      </c>
      <c r="T65" s="31">
        <v>2.28948405316379E-2</v>
      </c>
      <c r="U65" s="31">
        <v>5.2773261431398398E-2</v>
      </c>
      <c r="V65" s="31">
        <v>3.7226583693706801E-2</v>
      </c>
      <c r="W65" s="31">
        <v>0.44089682110474399</v>
      </c>
      <c r="X65" s="31">
        <v>0.13437749104004101</v>
      </c>
      <c r="Y65" s="31">
        <v>8.6052057836182499E-2</v>
      </c>
      <c r="Z65" s="31">
        <v>0.109800121020293</v>
      </c>
      <c r="AA65" s="31">
        <v>0.11509458411172301</v>
      </c>
      <c r="AB65" s="31">
        <v>5.8379503258843703E-2</v>
      </c>
      <c r="AC65" s="31">
        <v>8.1416692035843799E-2</v>
      </c>
      <c r="AD65" s="31">
        <v>9.5650750986779901E-2</v>
      </c>
      <c r="AE65" s="31">
        <v>0.134144372670745</v>
      </c>
      <c r="AF65" s="31">
        <v>4.5097250301610499E-2</v>
      </c>
      <c r="AG65" s="31">
        <v>8.8431401987359701E-2</v>
      </c>
      <c r="AH65" s="31">
        <v>5.5495358447342297E-2</v>
      </c>
      <c r="AI65" s="32"/>
      <c r="AJ65" s="31"/>
      <c r="AK65" s="31">
        <v>4.5635633984820602E-2</v>
      </c>
      <c r="AL65" s="31">
        <v>0.194813051332653</v>
      </c>
      <c r="AM65" s="31">
        <v>1.3568868011203199E-2</v>
      </c>
      <c r="AN65" s="31">
        <v>2.12681966787042E-2</v>
      </c>
      <c r="AO65" s="31">
        <v>7.0994279135806096E-2</v>
      </c>
      <c r="AP65" s="31">
        <v>5.5774344929600601E-2</v>
      </c>
      <c r="AQ65" s="31">
        <v>3.9175489119009803E-2</v>
      </c>
      <c r="AR65" s="31">
        <v>0.112524519070407</v>
      </c>
      <c r="AS65" s="31">
        <v>8.8832932243697496E-2</v>
      </c>
      <c r="AT65" s="31">
        <v>0.11380479161172</v>
      </c>
      <c r="AU65" s="31">
        <v>3.1660559703558203E-2</v>
      </c>
      <c r="AV65" s="31">
        <v>2.2931940064513601E-2</v>
      </c>
      <c r="AW65" s="31">
        <v>1.9251976865288699E-2</v>
      </c>
      <c r="AX65" s="31">
        <v>4.5627014113722802E-2</v>
      </c>
      <c r="AY65" s="31">
        <v>5.5377310161146102E-2</v>
      </c>
      <c r="AZ65" s="31">
        <v>5.09142430146204E-2</v>
      </c>
      <c r="BA65" s="31">
        <v>1.0414629306714899E-3</v>
      </c>
      <c r="BB65" s="31">
        <v>3.6782216965593702E-2</v>
      </c>
      <c r="BC65" s="31">
        <v>6.1358696456682599E-2</v>
      </c>
      <c r="BD65" s="31">
        <v>0.109334919303802</v>
      </c>
      <c r="BE65" s="31"/>
      <c r="BF65" s="31">
        <v>0.14215454749992301</v>
      </c>
      <c r="BG65" s="31">
        <v>8.1583455676826303E-2</v>
      </c>
      <c r="BH65" s="31">
        <v>2.63027891183116E-2</v>
      </c>
      <c r="BI65" s="31">
        <v>0.115799796850036</v>
      </c>
      <c r="BJ65" s="31">
        <v>0.12310515307170899</v>
      </c>
      <c r="BK65" s="31">
        <v>7.1723720261182705E-2</v>
      </c>
      <c r="BL65" s="31">
        <v>8.9353001236882501E-2</v>
      </c>
      <c r="BM65" s="31" t="s">
        <v>136</v>
      </c>
      <c r="BN65" s="31">
        <v>4.9751421372440201E-2</v>
      </c>
      <c r="BO65" s="31">
        <v>2.5630129847164299E-2</v>
      </c>
      <c r="BP65" s="32">
        <v>4.7630433006123997E-2</v>
      </c>
      <c r="BQ65" s="31">
        <v>1.59351618240362E-2</v>
      </c>
      <c r="BR65" s="31">
        <v>1.15370324145608E-2</v>
      </c>
      <c r="BS65" s="31">
        <v>9.7331336366071695E-3</v>
      </c>
      <c r="BT65" s="31">
        <v>1.1059129644886E-2</v>
      </c>
      <c r="BU65" s="31">
        <v>0.18293903969893099</v>
      </c>
      <c r="BV65" s="31">
        <v>1.49561671816974E-2</v>
      </c>
      <c r="BW65" s="31">
        <v>1.5563687654207899E-2</v>
      </c>
      <c r="BX65" s="31">
        <v>8.9695842174607205E-3</v>
      </c>
      <c r="BY65" s="31">
        <v>1.1132542901125701E-2</v>
      </c>
      <c r="BZ65" s="31">
        <v>5.1408869983961001E-3</v>
      </c>
      <c r="CA65" s="31">
        <v>1.3685442488035601E-2</v>
      </c>
      <c r="CB65" s="31">
        <v>3.3735437946011401E-2</v>
      </c>
      <c r="CC65" s="31">
        <v>1.0752758185717399E-2</v>
      </c>
      <c r="CD65" s="31">
        <v>2.0640827818797498E-3</v>
      </c>
      <c r="CE65" s="31">
        <v>5.9350493329604999E-3</v>
      </c>
      <c r="CF65" s="31">
        <v>1.1662097876858599E-2</v>
      </c>
      <c r="CG65" s="32">
        <v>3.7811538869689E-3</v>
      </c>
    </row>
    <row r="66" spans="1:182" x14ac:dyDescent="0.3">
      <c r="A66" s="30" t="s">
        <v>165</v>
      </c>
      <c r="B66" s="31">
        <v>1.41551459708059E-2</v>
      </c>
      <c r="C66" s="31" t="s">
        <v>136</v>
      </c>
      <c r="D66" s="31">
        <v>4.3300649495333699E-4</v>
      </c>
      <c r="E66" s="31">
        <v>1.1463693309922E-2</v>
      </c>
      <c r="F66" s="31" t="s">
        <v>136</v>
      </c>
      <c r="G66" s="31" t="s">
        <v>136</v>
      </c>
      <c r="H66" s="31">
        <v>1.5675901198650099E-2</v>
      </c>
      <c r="I66" s="31">
        <v>1.1571438581071101E-2</v>
      </c>
      <c r="J66" s="31">
        <v>5.6747088869983403E-4</v>
      </c>
      <c r="K66" s="31">
        <v>1.2674865839202401E-2</v>
      </c>
      <c r="L66" s="31">
        <v>2.15234822107889E-4</v>
      </c>
      <c r="M66" s="31">
        <v>1.8485084436193499E-4</v>
      </c>
      <c r="N66" s="31" t="s">
        <v>136</v>
      </c>
      <c r="O66" s="31">
        <v>5.8623689666487003E-4</v>
      </c>
      <c r="P66" s="31" t="s">
        <v>136</v>
      </c>
      <c r="Q66" s="31">
        <v>1.2357551872251599E-3</v>
      </c>
      <c r="R66" s="31">
        <v>1.9244367406447E-4</v>
      </c>
      <c r="S66" s="31">
        <v>1.04544389161247E-2</v>
      </c>
      <c r="T66" s="31" t="s">
        <v>136</v>
      </c>
      <c r="U66" s="31" t="s">
        <v>136</v>
      </c>
      <c r="V66" s="31">
        <v>6.8786031610971305E-4</v>
      </c>
      <c r="W66" s="31">
        <v>8.6243969193004096E-3</v>
      </c>
      <c r="X66" s="31">
        <v>6.6196354060022297E-3</v>
      </c>
      <c r="Y66" s="31">
        <v>7.8492997421698897E-5</v>
      </c>
      <c r="Z66" s="31">
        <v>1.51935079452749E-4</v>
      </c>
      <c r="AA66" s="31">
        <v>1.5985268675698501E-2</v>
      </c>
      <c r="AB66" s="31" t="s">
        <v>136</v>
      </c>
      <c r="AC66" s="31" t="s">
        <v>136</v>
      </c>
      <c r="AD66" s="31" t="s">
        <v>136</v>
      </c>
      <c r="AE66" s="31">
        <v>1.64588951694585E-4</v>
      </c>
      <c r="AF66" s="31" t="s">
        <v>136</v>
      </c>
      <c r="AG66" s="31" t="s">
        <v>136</v>
      </c>
      <c r="AH66" s="31">
        <v>9.6201999683849706E-3</v>
      </c>
      <c r="AI66" s="32"/>
      <c r="AJ66" s="31"/>
      <c r="AK66" s="31">
        <v>9.8497314503140804E-5</v>
      </c>
      <c r="AL66" s="31">
        <v>1.27729834423489E-3</v>
      </c>
      <c r="AM66" s="31">
        <v>1.7307367399237901E-3</v>
      </c>
      <c r="AN66" s="31">
        <v>9.0829916912628698E-4</v>
      </c>
      <c r="AO66" s="31">
        <v>2.5949953426313802E-4</v>
      </c>
      <c r="AP66" s="31">
        <v>9.6302319918324805E-4</v>
      </c>
      <c r="AQ66" s="31">
        <v>8.2852722322393995E-5</v>
      </c>
      <c r="AR66" s="31">
        <v>6.95678704568909E-4</v>
      </c>
      <c r="AS66" s="31">
        <v>3.67368911381501E-4</v>
      </c>
      <c r="AT66" s="31">
        <v>2.14163197346108E-4</v>
      </c>
      <c r="AU66" s="31">
        <v>3.5798903350392502E-4</v>
      </c>
      <c r="AV66" s="31">
        <v>5.2213611483527505E-4</v>
      </c>
      <c r="AW66" s="31">
        <v>5.3933750727698905E-4</v>
      </c>
      <c r="AX66" s="31">
        <v>2.37616799671226E-4</v>
      </c>
      <c r="AY66" s="31">
        <v>3.3297394176042699E-4</v>
      </c>
      <c r="AZ66" s="31">
        <v>7.3788112128188397E-4</v>
      </c>
      <c r="BA66" s="31">
        <v>8.2075103718145701E-4</v>
      </c>
      <c r="BB66" s="31">
        <v>2.61065712838931E-4</v>
      </c>
      <c r="BC66" s="31">
        <v>7.0974461375409702E-4</v>
      </c>
      <c r="BD66" s="31">
        <v>3.0483430812769797E-4</v>
      </c>
      <c r="BE66" s="31"/>
      <c r="BF66" s="31">
        <v>7.5196578709672097E-4</v>
      </c>
      <c r="BG66" s="31">
        <v>4.1427142687432399E-4</v>
      </c>
      <c r="BH66" s="31">
        <v>1.10990792902652E-4</v>
      </c>
      <c r="BI66" s="31">
        <v>3.0797135443669601E-4</v>
      </c>
      <c r="BJ66" s="31">
        <v>5.3151599271285103E-4</v>
      </c>
      <c r="BK66" s="31">
        <v>4.5960307463394198E-4</v>
      </c>
      <c r="BL66" s="31">
        <v>2.3448913167705299E-4</v>
      </c>
      <c r="BM66" s="31">
        <v>2.7669623754743999E-4</v>
      </c>
      <c r="BN66" s="31">
        <v>2.7982077943667098E-4</v>
      </c>
      <c r="BO66" s="31">
        <v>1.9621779192826902E-3</v>
      </c>
      <c r="BP66" s="32">
        <v>1.5476407734883201E-4</v>
      </c>
      <c r="BQ66" s="31">
        <v>1.5632712981968299E-4</v>
      </c>
      <c r="BR66" s="31">
        <v>8.7543442787417597E-5</v>
      </c>
      <c r="BS66" s="31">
        <v>1.7821142746406599E-4</v>
      </c>
      <c r="BT66" s="31">
        <v>5.7840756683837803E-5</v>
      </c>
      <c r="BU66" s="31">
        <v>2.2041697028198201E-4</v>
      </c>
      <c r="BV66" s="31">
        <v>1.6257933970308599E-4</v>
      </c>
      <c r="BW66" s="31">
        <v>1.5661785757926101E-6</v>
      </c>
      <c r="BX66" s="31">
        <v>7.0346739503115895E-5</v>
      </c>
      <c r="BY66" s="31">
        <v>1.21932160198608E-4</v>
      </c>
      <c r="BZ66" s="31">
        <v>6.2584620932870297E-6</v>
      </c>
      <c r="CA66" s="31">
        <v>1.6414082912146599E-4</v>
      </c>
      <c r="CB66" s="31">
        <v>4.5334773864559703E-5</v>
      </c>
      <c r="CC66" s="31">
        <v>2.81396336327289E-5</v>
      </c>
      <c r="CD66" s="31">
        <v>2.65753307199013E-4</v>
      </c>
      <c r="CE66" s="31">
        <v>7.2694288009086895E-4</v>
      </c>
      <c r="CF66" s="31">
        <v>1.6727006016811001E-4</v>
      </c>
      <c r="CG66" s="32">
        <v>4.2053301507255302E-4</v>
      </c>
    </row>
    <row r="67" spans="1:182" x14ac:dyDescent="0.3">
      <c r="A67" s="30" t="s">
        <v>166</v>
      </c>
      <c r="B67" s="31">
        <v>1.5856161170250901E-2</v>
      </c>
      <c r="C67" s="31">
        <v>3.25369790806929E-4</v>
      </c>
      <c r="D67" s="31">
        <v>1.4443659288787801E-3</v>
      </c>
      <c r="E67" s="31">
        <v>1.1988064158060099E-2</v>
      </c>
      <c r="F67" s="31">
        <v>1.78859456020368E-4</v>
      </c>
      <c r="G67" s="31">
        <v>2.6411873982967802E-4</v>
      </c>
      <c r="H67" s="31">
        <v>1.8141094483254998E-2</v>
      </c>
      <c r="I67" s="31">
        <v>1.21474235224861E-2</v>
      </c>
      <c r="J67" s="31">
        <v>1.0604778026568999E-3</v>
      </c>
      <c r="K67" s="31">
        <v>1.3631555849111699E-2</v>
      </c>
      <c r="L67" s="31">
        <v>7.5552460129758002E-4</v>
      </c>
      <c r="M67" s="31">
        <v>9.8210308139116205E-4</v>
      </c>
      <c r="N67" s="31">
        <v>4.80583162177846E-4</v>
      </c>
      <c r="O67" s="31">
        <v>1.1538547883664101E-3</v>
      </c>
      <c r="P67" s="31">
        <v>4.3394745168834299E-4</v>
      </c>
      <c r="Q67" s="31">
        <v>2.69148529314585E-3</v>
      </c>
      <c r="R67" s="31">
        <v>9.49384506391812E-4</v>
      </c>
      <c r="S67" s="31">
        <v>1.18888522263684E-2</v>
      </c>
      <c r="T67" s="31">
        <v>3.0518655246841503E-4</v>
      </c>
      <c r="U67" s="31">
        <v>2.6933805700899999E-4</v>
      </c>
      <c r="V67" s="31">
        <v>1.5087122717872901E-3</v>
      </c>
      <c r="W67" s="31">
        <v>8.5665642236739808E-3</v>
      </c>
      <c r="X67" s="31">
        <v>7.8546620562935498E-3</v>
      </c>
      <c r="Y67" s="31">
        <v>9.8628709310320003E-4</v>
      </c>
      <c r="Z67" s="31">
        <v>8.7316849060066395E-4</v>
      </c>
      <c r="AA67" s="31">
        <v>1.7103049420418199E-2</v>
      </c>
      <c r="AB67" s="31">
        <v>2.04612679519058E-4</v>
      </c>
      <c r="AC67" s="31">
        <v>2.8360899144412301E-4</v>
      </c>
      <c r="AD67" s="31">
        <v>3.3963550696852702E-4</v>
      </c>
      <c r="AE67" s="31">
        <v>8.9683440468950695E-4</v>
      </c>
      <c r="AF67" s="31" t="s">
        <v>136</v>
      </c>
      <c r="AG67" s="31">
        <v>1.2177363097046699E-5</v>
      </c>
      <c r="AH67" s="31">
        <v>1.15027743206845E-2</v>
      </c>
      <c r="AI67" s="32"/>
      <c r="AJ67" s="31"/>
      <c r="AK67" s="31">
        <v>3.3150055679446999E-4</v>
      </c>
      <c r="AL67" s="31">
        <v>8.4166723138875499E-4</v>
      </c>
      <c r="AM67" s="31">
        <v>2.7723310897521999E-3</v>
      </c>
      <c r="AN67" s="31">
        <v>6.5774622777129798E-4</v>
      </c>
      <c r="AO67" s="31">
        <v>6.8099854275565405E-4</v>
      </c>
      <c r="AP67" s="31">
        <v>6.7853330072618304E-4</v>
      </c>
      <c r="AQ67" s="31">
        <v>3.0684073971699101E-4</v>
      </c>
      <c r="AR67" s="31">
        <v>6.1229299763941505E-4</v>
      </c>
      <c r="AS67" s="31">
        <v>8.1206636341980398E-4</v>
      </c>
      <c r="AT67" s="31">
        <v>4.7066362786058E-4</v>
      </c>
      <c r="AU67" s="31">
        <v>7.4406245598361901E-4</v>
      </c>
      <c r="AV67" s="31">
        <v>5.2069335316161803E-4</v>
      </c>
      <c r="AW67" s="31">
        <v>6.2321593242665801E-4</v>
      </c>
      <c r="AX67" s="31">
        <v>5.2738532820346897E-4</v>
      </c>
      <c r="AY67" s="31">
        <v>6.8205311264224304E-4</v>
      </c>
      <c r="AZ67" s="31">
        <v>5.1928479438524201E-4</v>
      </c>
      <c r="BA67" s="31">
        <v>1.69161568943202E-3</v>
      </c>
      <c r="BB67" s="31">
        <v>5.0237046555294995E-4</v>
      </c>
      <c r="BC67" s="31">
        <v>5.2174897973145996E-4</v>
      </c>
      <c r="BD67" s="31">
        <v>6.7676969637676802E-4</v>
      </c>
      <c r="BE67" s="31"/>
      <c r="BF67" s="31">
        <v>1.01079255609638E-3</v>
      </c>
      <c r="BG67" s="31">
        <v>4.5586477890098402E-4</v>
      </c>
      <c r="BH67" s="31">
        <v>3.7448009143085698E-4</v>
      </c>
      <c r="BI67" s="31">
        <v>6.4541050747466604E-4</v>
      </c>
      <c r="BJ67" s="31">
        <v>4.9391382947842997E-4</v>
      </c>
      <c r="BK67" s="31">
        <v>5.5345687410708296E-4</v>
      </c>
      <c r="BL67" s="31">
        <v>4.79820844931902E-4</v>
      </c>
      <c r="BM67" s="31">
        <v>5.9009736590815299E-4</v>
      </c>
      <c r="BN67" s="31">
        <v>5.5416273852014995E-4</v>
      </c>
      <c r="BO67" s="31">
        <v>1.0072854243793499E-3</v>
      </c>
      <c r="BP67" s="32">
        <v>3.28329450351932E-4</v>
      </c>
      <c r="BQ67" s="31">
        <v>1.30048543998214E-3</v>
      </c>
      <c r="BR67" s="31">
        <v>8.5930327488291098E-4</v>
      </c>
      <c r="BS67" s="31">
        <v>2.10117343813262E-3</v>
      </c>
      <c r="BT67" s="31">
        <v>1.1760874040115301E-3</v>
      </c>
      <c r="BU67" s="31">
        <v>5.0801738085749001E-4</v>
      </c>
      <c r="BV67" s="31">
        <v>1.1930038462103199E-3</v>
      </c>
      <c r="BW67" s="31">
        <v>1.1341677226779901E-3</v>
      </c>
      <c r="BX67" s="31">
        <v>5.3551967588579496E-4</v>
      </c>
      <c r="BY67" s="31">
        <v>4.78083657663814E-4</v>
      </c>
      <c r="BZ67" s="31">
        <v>1.20814823059368E-3</v>
      </c>
      <c r="CA67" s="31">
        <v>1.65710335770268E-3</v>
      </c>
      <c r="CB67" s="31">
        <v>1.54363670998533E-3</v>
      </c>
      <c r="CC67" s="31">
        <v>1.0918697487398499E-3</v>
      </c>
      <c r="CD67" s="31">
        <v>2.1984601518785698E-3</v>
      </c>
      <c r="CE67" s="31">
        <v>2.6901676267245401E-3</v>
      </c>
      <c r="CF67" s="31">
        <v>5.3690498763060202E-4</v>
      </c>
      <c r="CG67" s="32">
        <v>2.5960551894708798E-3</v>
      </c>
    </row>
    <row r="68" spans="1:182" x14ac:dyDescent="0.3">
      <c r="A68" s="30" t="s">
        <v>167</v>
      </c>
      <c r="B68" s="31">
        <v>4.6442269417944501E-3</v>
      </c>
      <c r="C68" s="31">
        <v>2.09245833819103E-4</v>
      </c>
      <c r="D68" s="31">
        <v>1.9704946533105399E-4</v>
      </c>
      <c r="E68" s="31">
        <v>1.9650504399605799E-4</v>
      </c>
      <c r="F68" s="31" t="s">
        <v>136</v>
      </c>
      <c r="G68" s="31" t="s">
        <v>136</v>
      </c>
      <c r="H68" s="31">
        <v>6.7311486975920399E-3</v>
      </c>
      <c r="I68" s="31">
        <v>1.38105604537238E-3</v>
      </c>
      <c r="J68" s="31" t="s">
        <v>136</v>
      </c>
      <c r="K68" s="31">
        <v>3.4236043554513799E-3</v>
      </c>
      <c r="L68" s="31" t="s">
        <v>136</v>
      </c>
      <c r="M68" s="31" t="s">
        <v>136</v>
      </c>
      <c r="N68" s="31" t="s">
        <v>136</v>
      </c>
      <c r="O68" s="31">
        <v>1.4362472135233799E-4</v>
      </c>
      <c r="P68" s="31" t="s">
        <v>136</v>
      </c>
      <c r="Q68" s="31">
        <v>3.4305635037372098E-5</v>
      </c>
      <c r="R68" s="31" t="s">
        <v>136</v>
      </c>
      <c r="S68" s="31" t="s">
        <v>136</v>
      </c>
      <c r="T68" s="31" t="s">
        <v>136</v>
      </c>
      <c r="U68" s="31" t="s">
        <v>136</v>
      </c>
      <c r="V68" s="31">
        <v>3.44258133695878E-4</v>
      </c>
      <c r="W68" s="31">
        <v>1.09042450417196E-3</v>
      </c>
      <c r="X68" s="31">
        <v>2.04807734933973E-3</v>
      </c>
      <c r="Y68" s="31" t="s">
        <v>136</v>
      </c>
      <c r="Z68" s="31" t="s">
        <v>136</v>
      </c>
      <c r="AA68" s="31">
        <v>6.5899755555070003E-3</v>
      </c>
      <c r="AB68" s="31">
        <v>2.0753897156713301E-4</v>
      </c>
      <c r="AC68" s="31" t="s">
        <v>136</v>
      </c>
      <c r="AD68" s="31" t="s">
        <v>136</v>
      </c>
      <c r="AE68" s="31">
        <v>1.0801963232279099E-4</v>
      </c>
      <c r="AF68" s="31" t="s">
        <v>136</v>
      </c>
      <c r="AG68" s="31" t="s">
        <v>136</v>
      </c>
      <c r="AH68" s="31">
        <v>5.8674231049705798E-4</v>
      </c>
      <c r="AI68" s="32"/>
      <c r="AJ68" s="31"/>
      <c r="AK68" s="31" t="s">
        <v>136</v>
      </c>
      <c r="AL68" s="31">
        <v>2.8334370451744598E-4</v>
      </c>
      <c r="AM68" s="31">
        <v>2.10130726011947E-3</v>
      </c>
      <c r="AN68" s="31" t="s">
        <v>136</v>
      </c>
      <c r="AO68" s="31" t="s">
        <v>136</v>
      </c>
      <c r="AP68" s="31" t="s">
        <v>136</v>
      </c>
      <c r="AQ68" s="31" t="s">
        <v>136</v>
      </c>
      <c r="AR68" s="31" t="s">
        <v>136</v>
      </c>
      <c r="AS68" s="31">
        <v>1.7268726891504099E-4</v>
      </c>
      <c r="AT68" s="31" t="s">
        <v>136</v>
      </c>
      <c r="AU68" s="31" t="s">
        <v>136</v>
      </c>
      <c r="AV68" s="31" t="s">
        <v>136</v>
      </c>
      <c r="AW68" s="31" t="s">
        <v>136</v>
      </c>
      <c r="AX68" s="31" t="s">
        <v>136</v>
      </c>
      <c r="AY68" s="31">
        <v>7.9304253795094105E-4</v>
      </c>
      <c r="AZ68" s="31" t="s">
        <v>136</v>
      </c>
      <c r="BA68" s="31">
        <v>8.4250628148260602E-4</v>
      </c>
      <c r="BB68" s="31" t="s">
        <v>136</v>
      </c>
      <c r="BC68" s="31" t="s">
        <v>136</v>
      </c>
      <c r="BD68" s="31" t="s">
        <v>136</v>
      </c>
      <c r="BE68" s="31"/>
      <c r="BF68" s="31">
        <v>1.23231068654553E-4</v>
      </c>
      <c r="BG68" s="31" t="s">
        <v>136</v>
      </c>
      <c r="BH68" s="31" t="s">
        <v>136</v>
      </c>
      <c r="BI68" s="31">
        <v>1.5523524053393399E-3</v>
      </c>
      <c r="BJ68" s="31">
        <v>7.43297178962001E-5</v>
      </c>
      <c r="BK68" s="31">
        <v>3.3475361201278997E-4</v>
      </c>
      <c r="BL68" s="31" t="s">
        <v>136</v>
      </c>
      <c r="BM68" s="31" t="s">
        <v>136</v>
      </c>
      <c r="BN68" s="31">
        <v>6.2871488978256094E-5</v>
      </c>
      <c r="BO68" s="31" t="s">
        <v>136</v>
      </c>
      <c r="BP68" s="32">
        <v>3.1351888457876401E-3</v>
      </c>
      <c r="BQ68" s="31">
        <v>3.2713323184148302E-3</v>
      </c>
      <c r="BR68" s="31">
        <v>5.8040107603477497E-4</v>
      </c>
      <c r="BS68" s="31">
        <v>2.39193860273519E-3</v>
      </c>
      <c r="BT68" s="31">
        <v>1.3162002434467801E-3</v>
      </c>
      <c r="BU68" s="31" t="s">
        <v>136</v>
      </c>
      <c r="BV68" s="31">
        <v>1.6602588995270899E-3</v>
      </c>
      <c r="BW68" s="31">
        <v>1.7994171662013699E-3</v>
      </c>
      <c r="BX68" s="31">
        <v>8.1180516779199902E-4</v>
      </c>
      <c r="BY68" s="31">
        <v>3.4041357981930598E-4</v>
      </c>
      <c r="BZ68" s="31">
        <v>1.09934376922513E-3</v>
      </c>
      <c r="CA68" s="31">
        <v>2.28294923006291E-3</v>
      </c>
      <c r="CB68" s="31">
        <v>2.19045615331361E-3</v>
      </c>
      <c r="CC68" s="31">
        <v>1.5462214021548799E-3</v>
      </c>
      <c r="CD68" s="31">
        <v>2.2069264668580801E-3</v>
      </c>
      <c r="CE68" s="31">
        <v>2.7511122979718299E-3</v>
      </c>
      <c r="CF68" s="31">
        <v>5.4803625197900701E-4</v>
      </c>
      <c r="CG68" s="32">
        <v>2.7161802472921298E-3</v>
      </c>
    </row>
    <row r="69" spans="1:182" x14ac:dyDescent="0.3">
      <c r="A69" s="30" t="s">
        <v>168</v>
      </c>
      <c r="B69" s="31">
        <v>3.8125341809975102E-3</v>
      </c>
      <c r="C69" s="31">
        <v>5.8525507514488805E-4</v>
      </c>
      <c r="D69" s="31">
        <v>1.3377175260946699E-4</v>
      </c>
      <c r="E69" s="31" t="s">
        <v>136</v>
      </c>
      <c r="F69" s="31" t="s">
        <v>136</v>
      </c>
      <c r="G69" s="31">
        <v>8.3612047853237498E-5</v>
      </c>
      <c r="H69" s="31" t="s">
        <v>136</v>
      </c>
      <c r="I69" s="31" t="s">
        <v>136</v>
      </c>
      <c r="J69" s="31" t="s">
        <v>136</v>
      </c>
      <c r="K69" s="31">
        <v>2.4201043474720099E-4</v>
      </c>
      <c r="L69" s="31">
        <v>3.63703839212021E-4</v>
      </c>
      <c r="M69" s="31">
        <v>2.0066389887729401E-4</v>
      </c>
      <c r="N69" s="31" t="s">
        <v>136</v>
      </c>
      <c r="O69" s="31">
        <v>6.2588012233862902E-4</v>
      </c>
      <c r="P69" s="31" t="s">
        <v>136</v>
      </c>
      <c r="Q69" s="31" t="s">
        <v>136</v>
      </c>
      <c r="R69" s="31">
        <v>2.59202364315512E-3</v>
      </c>
      <c r="S69" s="31" t="s">
        <v>136</v>
      </c>
      <c r="T69" s="31" t="s">
        <v>136</v>
      </c>
      <c r="U69" s="31">
        <v>8.7787843274193602E-5</v>
      </c>
      <c r="V69" s="31">
        <v>1.9066508348769001E-4</v>
      </c>
      <c r="W69" s="31">
        <v>1.87602713181269E-3</v>
      </c>
      <c r="X69" s="31" t="s">
        <v>136</v>
      </c>
      <c r="Y69" s="31">
        <v>1.88119792712841E-4</v>
      </c>
      <c r="Z69" s="31">
        <v>8.6116271113192305E-4</v>
      </c>
      <c r="AA69" s="31" t="s">
        <v>136</v>
      </c>
      <c r="AB69" s="31">
        <v>1.8520007989848901E-3</v>
      </c>
      <c r="AC69" s="31">
        <v>2.8345917953808502E-3</v>
      </c>
      <c r="AD69" s="31">
        <v>9.7405966661200604E-4</v>
      </c>
      <c r="AE69" s="31">
        <v>1.1496478930865799E-3</v>
      </c>
      <c r="AF69" s="31" t="s">
        <v>136</v>
      </c>
      <c r="AG69" s="31" t="s">
        <v>136</v>
      </c>
      <c r="AH69" s="31" t="s">
        <v>136</v>
      </c>
      <c r="AI69" s="32"/>
      <c r="AJ69" s="31"/>
      <c r="AK69" s="31">
        <v>1.43417806658732E-3</v>
      </c>
      <c r="AL69" s="31">
        <v>6.3388369598622804E-3</v>
      </c>
      <c r="AM69" s="31">
        <v>4.5494215699642898E-3</v>
      </c>
      <c r="AN69" s="31">
        <v>1.6830257155465501E-3</v>
      </c>
      <c r="AO69" s="31">
        <v>1.5352339592048899E-4</v>
      </c>
      <c r="AP69" s="31">
        <v>4.4563435560085003E-3</v>
      </c>
      <c r="AQ69" s="31" t="s">
        <v>136</v>
      </c>
      <c r="AR69" s="31">
        <v>7.5040548345575797E-3</v>
      </c>
      <c r="AS69" s="31">
        <v>3.2498769403673899E-3</v>
      </c>
      <c r="AT69" s="31">
        <v>1.12329360428358E-3</v>
      </c>
      <c r="AU69" s="31" t="s">
        <v>136</v>
      </c>
      <c r="AV69" s="31">
        <v>9.9895473903127609E-4</v>
      </c>
      <c r="AW69" s="31">
        <v>4.8668541092995099E-3</v>
      </c>
      <c r="AX69" s="31">
        <v>5.6378528805840398E-4</v>
      </c>
      <c r="AY69" s="31">
        <v>1.1572636188430701E-2</v>
      </c>
      <c r="AZ69" s="31">
        <v>4.3405544900700904E-3</v>
      </c>
      <c r="BA69" s="31">
        <v>1.4921741361940399E-4</v>
      </c>
      <c r="BB69" s="31" t="s">
        <v>136</v>
      </c>
      <c r="BC69" s="31">
        <v>3.7059090620848801E-3</v>
      </c>
      <c r="BD69" s="31">
        <v>1.9564700968993701E-3</v>
      </c>
      <c r="BE69" s="31"/>
      <c r="BF69" s="31">
        <v>1.0792942565492901E-2</v>
      </c>
      <c r="BG69" s="31">
        <v>5.37683741253339E-3</v>
      </c>
      <c r="BH69" s="31">
        <v>1.3277676704731201E-4</v>
      </c>
      <c r="BI69" s="31">
        <v>1.3049484508889E-2</v>
      </c>
      <c r="BJ69" s="31">
        <v>1.0900753752769599E-2</v>
      </c>
      <c r="BK69" s="31">
        <v>1.6198512774266399E-2</v>
      </c>
      <c r="BL69" s="31" t="s">
        <v>136</v>
      </c>
      <c r="BM69" s="31" t="s">
        <v>136</v>
      </c>
      <c r="BN69" s="31">
        <v>1.3222681146371801E-3</v>
      </c>
      <c r="BO69" s="31">
        <v>3.76419523637021E-3</v>
      </c>
      <c r="BP69" s="32">
        <v>4.98292084685888E-3</v>
      </c>
      <c r="BQ69" s="31">
        <v>3.7564991736819399E-3</v>
      </c>
      <c r="BR69" s="31">
        <v>3.4853590523477898E-4</v>
      </c>
      <c r="BS69" s="31">
        <v>2.7989009287628201E-3</v>
      </c>
      <c r="BT69" s="31">
        <v>1.65801869225035E-3</v>
      </c>
      <c r="BU69" s="31">
        <v>2.46223444923574E-3</v>
      </c>
      <c r="BV69" s="31">
        <v>1.0736028171902199E-3</v>
      </c>
      <c r="BW69" s="31">
        <v>1.84047795768593E-3</v>
      </c>
      <c r="BX69" s="31">
        <v>7.1226376361786196E-3</v>
      </c>
      <c r="BY69" s="31">
        <v>8.6493756726527798E-3</v>
      </c>
      <c r="BZ69" s="31" t="s">
        <v>136</v>
      </c>
      <c r="CA69" s="31">
        <v>1.7617725583789999E-3</v>
      </c>
      <c r="CB69" s="31">
        <v>3.7032359546891199E-3</v>
      </c>
      <c r="CC69" s="31">
        <v>8.6034769681441105E-3</v>
      </c>
      <c r="CD69" s="31">
        <v>6.3595918774405605E-4</v>
      </c>
      <c r="CE69" s="31">
        <v>3.53236429898774E-3</v>
      </c>
      <c r="CF69" s="31">
        <v>2.9763621050211899E-3</v>
      </c>
      <c r="CG69" s="32">
        <v>6.0285824391463896E-3</v>
      </c>
    </row>
    <row r="70" spans="1:182" x14ac:dyDescent="0.3">
      <c r="A70" s="30" t="s">
        <v>169</v>
      </c>
      <c r="B70" s="31">
        <v>2.5786572823197199E-3</v>
      </c>
      <c r="C70" s="31">
        <v>4.4481687695458799E-3</v>
      </c>
      <c r="D70" s="31">
        <v>4.9530579481215503E-4</v>
      </c>
      <c r="E70" s="31">
        <v>6.67665554905803E-3</v>
      </c>
      <c r="F70" s="31">
        <v>2.50580745132928E-3</v>
      </c>
      <c r="G70" s="31">
        <v>3.2959949434903401E-3</v>
      </c>
      <c r="H70" s="31">
        <v>1.0485186278891001E-3</v>
      </c>
      <c r="I70" s="31">
        <v>1.97160222990032E-3</v>
      </c>
      <c r="J70" s="31">
        <v>3.1798050052538702E-5</v>
      </c>
      <c r="K70" s="31">
        <v>3.9311617096225203E-3</v>
      </c>
      <c r="L70" s="31">
        <v>6.1534930381165396E-4</v>
      </c>
      <c r="M70" s="31">
        <v>5.40658409027132E-4</v>
      </c>
      <c r="N70" s="31">
        <v>4.5148064070654899E-4</v>
      </c>
      <c r="O70" s="31">
        <v>1.0560892658254199E-3</v>
      </c>
      <c r="P70" s="31">
        <v>2.6672527475476498E-3</v>
      </c>
      <c r="Q70" s="31">
        <v>4.38905949152793E-4</v>
      </c>
      <c r="R70" s="31">
        <v>9.0425943204969E-4</v>
      </c>
      <c r="S70" s="31">
        <v>5.9372495212666196E-3</v>
      </c>
      <c r="T70" s="31">
        <v>3.0935485802613503E-4</v>
      </c>
      <c r="U70" s="31">
        <v>3.1850019213234301E-4</v>
      </c>
      <c r="V70" s="31">
        <v>2.5145567135784301E-3</v>
      </c>
      <c r="W70" s="31">
        <v>0.10135224167972</v>
      </c>
      <c r="X70" s="31">
        <v>1.8524511968608201E-2</v>
      </c>
      <c r="Y70" s="31">
        <v>4.9018701315585696E-3</v>
      </c>
      <c r="Z70" s="31">
        <v>5.1511859035550402E-4</v>
      </c>
      <c r="AA70" s="31">
        <v>2.3797834523581998E-3</v>
      </c>
      <c r="AB70" s="31">
        <v>7.4302020962662698E-4</v>
      </c>
      <c r="AC70" s="31">
        <v>4.18331709031231E-4</v>
      </c>
      <c r="AD70" s="31">
        <v>3.6612761726332102E-4</v>
      </c>
      <c r="AE70" s="31">
        <v>6.0162768398126104E-4</v>
      </c>
      <c r="AF70" s="31">
        <v>1.4416029479092899E-2</v>
      </c>
      <c r="AG70" s="31">
        <v>9.6223473282435294E-3</v>
      </c>
      <c r="AH70" s="31">
        <v>2.3086171811492E-3</v>
      </c>
      <c r="AI70" s="32"/>
      <c r="AJ70" s="31"/>
      <c r="AK70" s="31">
        <v>9.2094214571190804E-4</v>
      </c>
      <c r="AL70" s="31">
        <v>6.4769226924867298E-3</v>
      </c>
      <c r="AM70" s="31">
        <v>2.6096930393702598E-3</v>
      </c>
      <c r="AN70" s="31">
        <v>3.4942668088140099E-3</v>
      </c>
      <c r="AO70" s="31">
        <v>4.04605377812217E-4</v>
      </c>
      <c r="AP70" s="31">
        <v>4.6220007506465096E-3</v>
      </c>
      <c r="AQ70" s="31">
        <v>3.6106223827237099E-3</v>
      </c>
      <c r="AR70" s="31">
        <v>2.9696117443880499E-3</v>
      </c>
      <c r="AS70" s="31">
        <v>4.0395346284705498E-4</v>
      </c>
      <c r="AT70" s="31">
        <v>3.9876301712078201E-4</v>
      </c>
      <c r="AU70" s="31">
        <v>1.05782179365254E-4</v>
      </c>
      <c r="AV70" s="31">
        <v>2.1190969629964499E-3</v>
      </c>
      <c r="AW70" s="31">
        <v>1.15639246112216E-3</v>
      </c>
      <c r="AX70" s="31">
        <v>1.8669815035132799E-4</v>
      </c>
      <c r="AY70" s="31">
        <v>8.75033402727312E-4</v>
      </c>
      <c r="AZ70" s="31">
        <v>2.1753478805196002E-3</v>
      </c>
      <c r="BA70" s="31">
        <v>1.5915056856799501E-3</v>
      </c>
      <c r="BB70" s="31">
        <v>5.03517143457034E-4</v>
      </c>
      <c r="BC70" s="31">
        <v>4.5622127510313599E-3</v>
      </c>
      <c r="BD70" s="31">
        <v>5.30787693824515E-4</v>
      </c>
      <c r="BE70" s="31"/>
      <c r="BF70" s="31">
        <v>8.3750719606482706E-3</v>
      </c>
      <c r="BG70" s="31">
        <v>7.8178274205368808E-3</v>
      </c>
      <c r="BH70" s="31">
        <v>3.0916753594160701E-4</v>
      </c>
      <c r="BI70" s="31">
        <v>8.0097638179440502E-4</v>
      </c>
      <c r="BJ70" s="31">
        <v>2.7841804374179198E-3</v>
      </c>
      <c r="BK70" s="31">
        <v>1.91106579303698E-3</v>
      </c>
      <c r="BL70" s="31">
        <v>4.5308738965564702E-4</v>
      </c>
      <c r="BM70" s="31">
        <v>2.1627397931824199E-6</v>
      </c>
      <c r="BN70" s="31">
        <v>6.9704634172798195E-4</v>
      </c>
      <c r="BO70" s="31">
        <v>5.1496720573382896E-3</v>
      </c>
      <c r="BP70" s="32">
        <v>9.3145770281054096E-3</v>
      </c>
      <c r="BQ70" s="31">
        <v>4.5922283089711198E-4</v>
      </c>
      <c r="BR70" s="31">
        <v>2.8341862518259099E-4</v>
      </c>
      <c r="BS70" s="31">
        <v>3.2627046232689701E-4</v>
      </c>
      <c r="BT70" s="31">
        <v>3.2799888053745098E-4</v>
      </c>
      <c r="BU70" s="31">
        <v>1.56354601750258E-3</v>
      </c>
      <c r="BV70" s="31">
        <v>1.6549469181290701E-4</v>
      </c>
      <c r="BW70" s="31">
        <v>3.3513577044802598E-4</v>
      </c>
      <c r="BX70" s="31">
        <v>3.7343912723321402E-4</v>
      </c>
      <c r="BY70" s="31">
        <v>1.7285328472258399E-4</v>
      </c>
      <c r="BZ70" s="31">
        <v>1.00158277238788E-4</v>
      </c>
      <c r="CA70" s="31">
        <v>1.8431933124487499E-4</v>
      </c>
      <c r="CB70" s="31">
        <v>1.2959156739945099E-4</v>
      </c>
      <c r="CC70" s="31">
        <v>2.6201401172791202E-4</v>
      </c>
      <c r="CD70" s="31">
        <v>7.5283417035252296E-5</v>
      </c>
      <c r="CE70" s="31">
        <v>9.4348793479903301E-4</v>
      </c>
      <c r="CF70" s="31">
        <v>3.4985706588394898E-4</v>
      </c>
      <c r="CG70" s="32">
        <v>4.9033868459924599E-4</v>
      </c>
    </row>
    <row r="71" spans="1:182" x14ac:dyDescent="0.3">
      <c r="A71" s="30"/>
      <c r="B71" s="31"/>
      <c r="E71" s="31"/>
      <c r="H71" s="31"/>
      <c r="I71" s="69"/>
      <c r="K71" s="31"/>
      <c r="S71" s="31"/>
      <c r="W71" s="31"/>
      <c r="X71" s="69"/>
      <c r="AA71" s="31"/>
      <c r="AH71" s="31"/>
      <c r="AI71" s="3"/>
      <c r="BP71" s="3"/>
    </row>
    <row r="72" spans="1:182" s="23" customFormat="1" x14ac:dyDescent="0.3">
      <c r="A72" s="33"/>
      <c r="B72" s="34"/>
      <c r="E72" s="34"/>
      <c r="H72" s="34"/>
      <c r="I72" s="70"/>
      <c r="K72" s="34"/>
      <c r="S72" s="34"/>
      <c r="W72" s="34"/>
      <c r="X72" s="70"/>
      <c r="AA72" s="34"/>
      <c r="AH72" s="34"/>
      <c r="AI72" s="49"/>
      <c r="BP72" s="49"/>
      <c r="CG72" s="49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</row>
    <row r="73" spans="1:182" s="23" customFormat="1" ht="18" x14ac:dyDescent="0.35">
      <c r="A73" s="71" t="s">
        <v>170</v>
      </c>
      <c r="B73" s="21" t="s">
        <v>10</v>
      </c>
      <c r="C73" s="21" t="s">
        <v>11</v>
      </c>
      <c r="D73" s="21" t="s">
        <v>12</v>
      </c>
      <c r="E73" s="21" t="s">
        <v>13</v>
      </c>
      <c r="F73" s="21" t="s">
        <v>14</v>
      </c>
      <c r="G73" s="21" t="s">
        <v>15</v>
      </c>
      <c r="H73" s="21" t="s">
        <v>16</v>
      </c>
      <c r="I73" s="21" t="s">
        <v>17</v>
      </c>
      <c r="J73" s="21" t="s">
        <v>18</v>
      </c>
      <c r="K73" s="21" t="s">
        <v>19</v>
      </c>
      <c r="L73" s="21" t="s">
        <v>20</v>
      </c>
      <c r="M73" s="21" t="s">
        <v>21</v>
      </c>
      <c r="N73" s="21" t="s">
        <v>22</v>
      </c>
      <c r="O73" s="21" t="s">
        <v>23</v>
      </c>
      <c r="P73" s="21" t="s">
        <v>24</v>
      </c>
      <c r="Q73" s="21" t="s">
        <v>25</v>
      </c>
      <c r="R73" s="21" t="s">
        <v>26</v>
      </c>
      <c r="S73" s="21" t="s">
        <v>27</v>
      </c>
      <c r="T73" s="21" t="s">
        <v>28</v>
      </c>
      <c r="U73" s="21" t="s">
        <v>29</v>
      </c>
      <c r="V73" s="21" t="s">
        <v>30</v>
      </c>
      <c r="W73" s="21" t="s">
        <v>31</v>
      </c>
      <c r="X73" s="21" t="s">
        <v>32</v>
      </c>
      <c r="Y73" s="21" t="s">
        <v>33</v>
      </c>
      <c r="Z73" s="21" t="s">
        <v>34</v>
      </c>
      <c r="AA73" s="21" t="s">
        <v>35</v>
      </c>
      <c r="AB73" s="21" t="s">
        <v>36</v>
      </c>
      <c r="AC73" s="21" t="s">
        <v>37</v>
      </c>
      <c r="AD73" s="21" t="s">
        <v>38</v>
      </c>
      <c r="AE73" s="21" t="s">
        <v>39</v>
      </c>
      <c r="AF73" s="21" t="s">
        <v>40</v>
      </c>
      <c r="AG73" s="21" t="s">
        <v>41</v>
      </c>
      <c r="AH73" s="21" t="s">
        <v>42</v>
      </c>
      <c r="AI73" s="72" t="s">
        <v>43</v>
      </c>
      <c r="AJ73" s="73" t="s">
        <v>44</v>
      </c>
      <c r="AK73" s="21" t="s">
        <v>45</v>
      </c>
      <c r="AL73" s="74" t="s">
        <v>46</v>
      </c>
      <c r="AM73" s="21" t="s">
        <v>47</v>
      </c>
      <c r="AN73" s="21" t="s">
        <v>48</v>
      </c>
      <c r="AO73" s="21" t="s">
        <v>49</v>
      </c>
      <c r="AP73" s="74" t="s">
        <v>50</v>
      </c>
      <c r="AQ73" s="21" t="s">
        <v>51</v>
      </c>
      <c r="AR73" s="21" t="s">
        <v>52</v>
      </c>
      <c r="AS73" s="21" t="s">
        <v>53</v>
      </c>
      <c r="AT73" s="21" t="s">
        <v>54</v>
      </c>
      <c r="AU73" s="21" t="s">
        <v>55</v>
      </c>
      <c r="AV73" s="24" t="s">
        <v>56</v>
      </c>
      <c r="AW73" s="21" t="s">
        <v>57</v>
      </c>
      <c r="AX73" s="21" t="s">
        <v>58</v>
      </c>
      <c r="AY73" s="75" t="s">
        <v>59</v>
      </c>
      <c r="AZ73" s="74" t="s">
        <v>60</v>
      </c>
      <c r="BA73" s="21" t="s">
        <v>61</v>
      </c>
      <c r="BB73" s="21" t="s">
        <v>62</v>
      </c>
      <c r="BC73" s="21" t="s">
        <v>63</v>
      </c>
      <c r="BD73" s="24" t="s">
        <v>64</v>
      </c>
      <c r="BE73" s="73" t="s">
        <v>65</v>
      </c>
      <c r="BF73" s="21" t="s">
        <v>66</v>
      </c>
      <c r="BG73" s="21" t="s">
        <v>67</v>
      </c>
      <c r="BH73" s="21" t="s">
        <v>68</v>
      </c>
      <c r="BI73" s="21" t="s">
        <v>69</v>
      </c>
      <c r="BJ73" s="21" t="s">
        <v>70</v>
      </c>
      <c r="BK73" s="21" t="s">
        <v>71</v>
      </c>
      <c r="BL73" s="21" t="s">
        <v>72</v>
      </c>
      <c r="BM73" s="21" t="s">
        <v>73</v>
      </c>
      <c r="BN73" s="24" t="s">
        <v>74</v>
      </c>
      <c r="BO73" s="21" t="s">
        <v>75</v>
      </c>
      <c r="BP73" s="22" t="s">
        <v>76</v>
      </c>
      <c r="BQ73" s="21" t="s">
        <v>77</v>
      </c>
      <c r="BR73" s="21" t="s">
        <v>78</v>
      </c>
      <c r="BS73" s="21" t="s">
        <v>79</v>
      </c>
      <c r="BT73" s="21" t="s">
        <v>80</v>
      </c>
      <c r="BU73" s="21" t="s">
        <v>81</v>
      </c>
      <c r="BV73" s="24" t="s">
        <v>82</v>
      </c>
      <c r="BW73" s="21" t="s">
        <v>83</v>
      </c>
      <c r="BX73" s="21" t="s">
        <v>84</v>
      </c>
      <c r="BY73" s="21" t="s">
        <v>85</v>
      </c>
      <c r="BZ73" s="21" t="s">
        <v>86</v>
      </c>
      <c r="CA73" s="21" t="s">
        <v>87</v>
      </c>
      <c r="CB73" s="21" t="s">
        <v>88</v>
      </c>
      <c r="CC73" s="21" t="s">
        <v>89</v>
      </c>
      <c r="CD73" s="21" t="s">
        <v>90</v>
      </c>
      <c r="CE73" s="21" t="s">
        <v>91</v>
      </c>
      <c r="CF73" s="21" t="s">
        <v>92</v>
      </c>
      <c r="CG73" s="22" t="s">
        <v>93</v>
      </c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</row>
    <row r="74" spans="1:182" x14ac:dyDescent="0.3">
      <c r="A74" s="30" t="s">
        <v>135</v>
      </c>
      <c r="B74" s="31">
        <v>0.10787947747784205</v>
      </c>
      <c r="C74" s="31">
        <v>3.432227255436799E-2</v>
      </c>
      <c r="D74" s="31">
        <v>2.3149860373095268E-2</v>
      </c>
      <c r="E74" s="31">
        <v>6.4434959412292443E-3</v>
      </c>
      <c r="F74" s="31">
        <v>6.3335954084989959E-2</v>
      </c>
      <c r="G74" s="31">
        <v>0.13958661018808713</v>
      </c>
      <c r="H74" s="31">
        <v>0.11289399338494843</v>
      </c>
      <c r="I74" s="31">
        <v>1.6199196993874666E-2</v>
      </c>
      <c r="J74" s="31">
        <v>5.796420596132109E-3</v>
      </c>
      <c r="K74" s="31">
        <v>6.7447850859871636E-2</v>
      </c>
      <c r="L74" s="31">
        <v>9.0831881691866498E-3</v>
      </c>
      <c r="M74" s="31">
        <v>1.4954396627590563E-2</v>
      </c>
      <c r="N74" s="31">
        <v>2.5716056672750582E-2</v>
      </c>
      <c r="O74" s="31">
        <v>1.3616662773131739E-2</v>
      </c>
      <c r="P74" s="31">
        <v>2.3275611757350718E-2</v>
      </c>
      <c r="Q74" s="31">
        <v>5.2582838340567454E-3</v>
      </c>
      <c r="R74" s="31">
        <v>0.1198497510517707</v>
      </c>
      <c r="S74" s="31">
        <v>2.5395935553816387E-2</v>
      </c>
      <c r="T74" s="31">
        <v>7.3708738565301274E-2</v>
      </c>
      <c r="U74" s="31">
        <v>3.5477254466941548E-2</v>
      </c>
      <c r="V74" s="31">
        <v>9.6877679536242794E-2</v>
      </c>
      <c r="W74" s="31">
        <v>0.14338088866469667</v>
      </c>
      <c r="X74" s="31">
        <v>2.492404288903487E-2</v>
      </c>
      <c r="Y74" s="31">
        <v>3.2252216568139314E-2</v>
      </c>
      <c r="Z74" s="31">
        <v>2.5022845562548621E-2</v>
      </c>
      <c r="AA74" s="31">
        <v>2.5801526594213395E-2</v>
      </c>
      <c r="AB74" s="31">
        <v>3.9959450452032039E-3</v>
      </c>
      <c r="AC74" s="31">
        <v>9.137665386550007E-3</v>
      </c>
      <c r="AD74" s="31">
        <v>7.2242010435881231E-3</v>
      </c>
      <c r="AE74" s="31">
        <v>2.1172308587577255E-2</v>
      </c>
      <c r="AF74" s="31">
        <v>4.110659432331365E-2</v>
      </c>
      <c r="AG74" s="31">
        <v>7.9725617113477226E-2</v>
      </c>
      <c r="AH74" s="31">
        <v>4.3094144650270692E-2</v>
      </c>
      <c r="AI74" s="32"/>
      <c r="AJ74" s="31"/>
      <c r="AK74" s="31">
        <v>3.4247274363530304E-2</v>
      </c>
      <c r="AL74" s="31">
        <v>8.5908344834626591E-3</v>
      </c>
      <c r="AM74" s="31">
        <v>3.6522646318870688E-3</v>
      </c>
      <c r="AN74" s="31">
        <v>9.7273082514658816E-3</v>
      </c>
      <c r="AO74" s="31">
        <v>8.3660875482036712E-3</v>
      </c>
      <c r="AP74" s="31">
        <v>5.6898321961230706E-3</v>
      </c>
      <c r="AQ74" s="31">
        <v>5.168784932033868E-2</v>
      </c>
      <c r="AR74" s="31">
        <v>1.4767031069458623E-2</v>
      </c>
      <c r="AS74" s="31">
        <v>4.5213707228535863E-2</v>
      </c>
      <c r="AT74" s="31">
        <v>4.4344970360193615E-2</v>
      </c>
      <c r="AU74" s="31">
        <v>1.4457467533736945E-2</v>
      </c>
      <c r="AV74" s="31">
        <v>8.3238939945170214E-3</v>
      </c>
      <c r="AW74" s="31">
        <v>7.6631893926627087E-3</v>
      </c>
      <c r="AX74" s="31">
        <v>2.8440171997076175E-3</v>
      </c>
      <c r="AY74" s="31">
        <v>9.5208567712825841E-3</v>
      </c>
      <c r="AZ74" s="31">
        <v>1.7525296001713927E-2</v>
      </c>
      <c r="BA74" s="31">
        <v>3.051969330470884E-3</v>
      </c>
      <c r="BB74" s="31">
        <v>3.2279701884539699E-2</v>
      </c>
      <c r="BC74" s="31">
        <v>1.4231476324675592E-2</v>
      </c>
      <c r="BD74" s="31">
        <v>5.1063891466824399E-2</v>
      </c>
      <c r="BE74" s="31"/>
      <c r="BF74" s="31">
        <v>6.0604280751833814E-2</v>
      </c>
      <c r="BG74" s="31">
        <v>2.4498666903332494E-2</v>
      </c>
      <c r="BH74" s="31">
        <v>1.648058240050182E-2</v>
      </c>
      <c r="BI74" s="31">
        <v>5.0055603008108469E-2</v>
      </c>
      <c r="BJ74" s="31">
        <v>7.4611457422380989E-3</v>
      </c>
      <c r="BK74" s="31">
        <v>3.1233107095789206E-2</v>
      </c>
      <c r="BL74" s="31">
        <v>0.17925356910486387</v>
      </c>
      <c r="BM74" s="31">
        <v>3.7723661173559744E-3</v>
      </c>
      <c r="BN74" s="31">
        <v>1.1741850335876922E-2</v>
      </c>
      <c r="BO74" s="31">
        <v>3.343071041919794E-3</v>
      </c>
      <c r="BP74" s="32">
        <v>1.7689442437278147E-2</v>
      </c>
      <c r="BQ74" s="31">
        <v>7.8652063810679809E-2</v>
      </c>
      <c r="BR74" s="31">
        <v>0.1096241871968005</v>
      </c>
      <c r="BS74" s="31">
        <v>8.4503551147867215E-3</v>
      </c>
      <c r="BT74" s="31">
        <v>6.7327056670587254E-3</v>
      </c>
      <c r="BU74" s="31">
        <v>0.39929903629640873</v>
      </c>
      <c r="BV74" s="31">
        <v>4.1923519207038799E-3</v>
      </c>
      <c r="BW74" s="31">
        <v>0.15030497524436809</v>
      </c>
      <c r="BX74" s="31">
        <v>4.2277028856760976E-2</v>
      </c>
      <c r="BY74" s="31">
        <v>6.858043828296316E-2</v>
      </c>
      <c r="BZ74" s="31" t="s">
        <v>136</v>
      </c>
      <c r="CA74" s="31">
        <v>7.671572113315217E-2</v>
      </c>
      <c r="CB74" s="31">
        <v>7.1254395872713044E-3</v>
      </c>
      <c r="CC74" s="31">
        <v>0.35951822705205322</v>
      </c>
      <c r="CD74" s="31">
        <v>2.7299418184265092E-2</v>
      </c>
      <c r="CE74" s="31">
        <v>5.2380428342285665E-2</v>
      </c>
      <c r="CF74" s="31">
        <v>2.9403423556355616E-2</v>
      </c>
      <c r="CG74" s="32">
        <v>1.1333280196598856E-2</v>
      </c>
    </row>
    <row r="75" spans="1:182" x14ac:dyDescent="0.3">
      <c r="A75" s="30" t="s">
        <v>137</v>
      </c>
      <c r="B75" s="31" t="s">
        <v>136</v>
      </c>
      <c r="C75" s="31">
        <v>4.1303153107982179E-4</v>
      </c>
      <c r="D75" s="31">
        <v>7.8235629838681743E-4</v>
      </c>
      <c r="E75" s="31" t="s">
        <v>136</v>
      </c>
      <c r="F75" s="31">
        <v>3.5128635055154459E-5</v>
      </c>
      <c r="G75" s="31">
        <v>5.3748452582293175E-6</v>
      </c>
      <c r="H75" s="31">
        <v>7.5512139994140474E-3</v>
      </c>
      <c r="I75" s="31" t="s">
        <v>136</v>
      </c>
      <c r="J75" s="31">
        <v>6.7513749180984201E-4</v>
      </c>
      <c r="K75" s="31">
        <v>2.1149701407695257E-3</v>
      </c>
      <c r="L75" s="31">
        <v>2.965153695998129E-4</v>
      </c>
      <c r="M75" s="31">
        <v>5.8473316242099824E-4</v>
      </c>
      <c r="N75" s="31">
        <v>2.1203884264507593E-4</v>
      </c>
      <c r="O75" s="31">
        <v>4.5717302846376537E-4</v>
      </c>
      <c r="P75" s="31">
        <v>5.3869889745730857E-5</v>
      </c>
      <c r="Q75" s="31">
        <v>4.9316466493103312E-4</v>
      </c>
      <c r="R75" s="31">
        <v>2.013353578937067E-3</v>
      </c>
      <c r="S75" s="31" t="s">
        <v>136</v>
      </c>
      <c r="T75" s="31">
        <v>2.6639764277407701E-3</v>
      </c>
      <c r="U75" s="31">
        <v>7.9331061417805757E-4</v>
      </c>
      <c r="V75" s="31">
        <v>2.1827503977535018E-3</v>
      </c>
      <c r="W75" s="31" t="s">
        <v>136</v>
      </c>
      <c r="X75" s="31" t="s">
        <v>136</v>
      </c>
      <c r="Y75" s="31">
        <v>2.2356061937670854E-4</v>
      </c>
      <c r="Z75" s="31">
        <v>8.2261648016620397E-4</v>
      </c>
      <c r="AA75" s="31">
        <v>1.1066972859234963E-3</v>
      </c>
      <c r="AB75" s="31">
        <v>6.5151318922410995E-4</v>
      </c>
      <c r="AC75" s="31">
        <v>8.5979576882154571E-4</v>
      </c>
      <c r="AD75" s="31">
        <v>4.0992454167790152E-4</v>
      </c>
      <c r="AE75" s="31">
        <v>1.17834514109576E-3</v>
      </c>
      <c r="AF75" s="31">
        <v>1.8294642372867509E-5</v>
      </c>
      <c r="AG75" s="31">
        <v>1.8925575307981963E-4</v>
      </c>
      <c r="AH75" s="31" t="s">
        <v>136</v>
      </c>
      <c r="AI75" s="32"/>
      <c r="AJ75" s="31"/>
      <c r="AK75" s="31">
        <v>3.2192515422713316E-4</v>
      </c>
      <c r="AL75" s="31">
        <v>1.75229539822052E-3</v>
      </c>
      <c r="AM75" s="31">
        <v>7.8397600386616339E-4</v>
      </c>
      <c r="AN75" s="31">
        <v>1.4274754311073125E-3</v>
      </c>
      <c r="AO75" s="31">
        <v>3.0965415735633437E-4</v>
      </c>
      <c r="AP75" s="31">
        <v>3.2533244196492031E-3</v>
      </c>
      <c r="AQ75" s="31">
        <v>3.0667731413535747E-4</v>
      </c>
      <c r="AR75" s="31">
        <v>1.5277429947552052E-3</v>
      </c>
      <c r="AS75" s="31">
        <v>1.600319653734501E-3</v>
      </c>
      <c r="AT75" s="31">
        <v>3.0515523644392091E-4</v>
      </c>
      <c r="AU75" s="31">
        <v>2.9498838898193671E-4</v>
      </c>
      <c r="AV75" s="31">
        <v>5.9898603417592113E-4</v>
      </c>
      <c r="AW75" s="31">
        <v>1.4282856871539149E-4</v>
      </c>
      <c r="AX75" s="31">
        <v>5.5240632457705781E-5</v>
      </c>
      <c r="AY75" s="31">
        <v>1.8586688166177476E-3</v>
      </c>
      <c r="AZ75" s="31">
        <v>7.8063964109360525E-4</v>
      </c>
      <c r="BA75" s="31">
        <v>8.1508790102195945E-4</v>
      </c>
      <c r="BB75" s="31">
        <v>3.6903219907134723E-4</v>
      </c>
      <c r="BC75" s="31">
        <v>1.1621006843770532E-3</v>
      </c>
      <c r="BD75" s="31">
        <v>8.2896921314898635E-4</v>
      </c>
      <c r="BE75" s="31"/>
      <c r="BF75" s="31">
        <v>3.6877112591701471E-4</v>
      </c>
      <c r="BG75" s="31">
        <v>3.7988924905168841E-4</v>
      </c>
      <c r="BH75" s="31">
        <v>1.0622833420703654E-4</v>
      </c>
      <c r="BI75" s="31">
        <v>1.9162361706099085E-4</v>
      </c>
      <c r="BJ75" s="31">
        <v>1.4389123799207362E-3</v>
      </c>
      <c r="BK75" s="31">
        <v>2.2162398470606613E-3</v>
      </c>
      <c r="BL75" s="31">
        <v>1.3512689260796592E-3</v>
      </c>
      <c r="BM75" s="31">
        <v>3.4415300090805465E-4</v>
      </c>
      <c r="BN75" s="31">
        <v>2.2547196780921632E-4</v>
      </c>
      <c r="BO75" s="31">
        <v>2.5140720827028606E-3</v>
      </c>
      <c r="BP75" s="32">
        <v>3.4414698143005315E-4</v>
      </c>
      <c r="BQ75" s="31" t="s">
        <v>136</v>
      </c>
      <c r="BR75" s="31" t="s">
        <v>136</v>
      </c>
      <c r="BS75" s="31" t="s">
        <v>136</v>
      </c>
      <c r="BT75" s="31" t="s">
        <v>136</v>
      </c>
      <c r="BU75" s="31" t="s">
        <v>136</v>
      </c>
      <c r="BV75" s="31" t="s">
        <v>136</v>
      </c>
      <c r="BW75" s="31" t="s">
        <v>136</v>
      </c>
      <c r="BX75" s="31" t="s">
        <v>136</v>
      </c>
      <c r="BY75" s="31" t="s">
        <v>136</v>
      </c>
      <c r="BZ75" s="31" t="s">
        <v>136</v>
      </c>
      <c r="CA75" s="31" t="s">
        <v>136</v>
      </c>
      <c r="CB75" s="31" t="s">
        <v>136</v>
      </c>
      <c r="CC75" s="31" t="s">
        <v>136</v>
      </c>
      <c r="CD75" s="31" t="s">
        <v>136</v>
      </c>
      <c r="CE75" s="31" t="s">
        <v>136</v>
      </c>
      <c r="CF75" s="31" t="s">
        <v>136</v>
      </c>
      <c r="CG75" s="32" t="s">
        <v>136</v>
      </c>
    </row>
    <row r="76" spans="1:182" x14ac:dyDescent="0.3">
      <c r="A76" s="30" t="s">
        <v>138</v>
      </c>
      <c r="B76" s="31">
        <v>2.0899693290895862</v>
      </c>
      <c r="C76" s="31">
        <v>0.19305355425067841</v>
      </c>
      <c r="D76" s="31">
        <v>9.2425272789132693E-2</v>
      </c>
      <c r="E76" s="31">
        <v>5.7706481294936003E-2</v>
      </c>
      <c r="F76" s="31">
        <v>0.48987551639007942</v>
      </c>
      <c r="G76" s="31">
        <v>1.0177363740797674</v>
      </c>
      <c r="H76" s="31">
        <v>0.79699730542544545</v>
      </c>
      <c r="I76" s="31">
        <v>0.1003783968479135</v>
      </c>
      <c r="J76" s="31">
        <v>1.0097948904679419E-2</v>
      </c>
      <c r="K76" s="31">
        <v>0.15970143126273373</v>
      </c>
      <c r="L76" s="31">
        <v>8.4015188143966482E-2</v>
      </c>
      <c r="M76" s="31">
        <v>0.14102664119354244</v>
      </c>
      <c r="N76" s="31">
        <v>0.49467321935371633</v>
      </c>
      <c r="O76" s="31">
        <v>9.066671757132333E-2</v>
      </c>
      <c r="P76" s="31">
        <v>8.1095733151748381E-2</v>
      </c>
      <c r="Q76" s="31">
        <v>2.8857286527965684E-2</v>
      </c>
      <c r="R76" s="31">
        <v>0.64081934074071634</v>
      </c>
      <c r="S76" s="31">
        <v>4.0991294246234676E-2</v>
      </c>
      <c r="T76" s="31">
        <v>1.6153317465229793</v>
      </c>
      <c r="U76" s="31">
        <v>0.50546394320274834</v>
      </c>
      <c r="V76" s="31">
        <v>1.2792243971115416</v>
      </c>
      <c r="W76" s="31">
        <v>0.72814433713655358</v>
      </c>
      <c r="X76" s="31">
        <v>0.18910518815716881</v>
      </c>
      <c r="Y76" s="31">
        <v>0.74302829372516255</v>
      </c>
      <c r="Z76" s="31">
        <v>6.3762558359557686E-2</v>
      </c>
      <c r="AA76" s="31">
        <v>6.1654718310097098E-2</v>
      </c>
      <c r="AB76" s="31">
        <v>0.13672952085671569</v>
      </c>
      <c r="AC76" s="31">
        <v>0.26835089046938176</v>
      </c>
      <c r="AD76" s="31">
        <v>0.11310385036346329</v>
      </c>
      <c r="AE76" s="31">
        <v>0.40827946913866214</v>
      </c>
      <c r="AF76" s="31">
        <v>3.2247697264490816</v>
      </c>
      <c r="AG76" s="31">
        <v>3.2074404613311049</v>
      </c>
      <c r="AH76" s="31">
        <v>0.76874123222686452</v>
      </c>
      <c r="AI76" s="32"/>
      <c r="AJ76" s="31"/>
      <c r="AK76" s="31">
        <v>0.22117209200935933</v>
      </c>
      <c r="AL76" s="31">
        <v>4.7228511088660989E-2</v>
      </c>
      <c r="AM76" s="31">
        <v>8.4295425965782655E-2</v>
      </c>
      <c r="AN76" s="31">
        <v>8.6041348831193826E-2</v>
      </c>
      <c r="AO76" s="31">
        <v>0.10773767954949723</v>
      </c>
      <c r="AP76" s="31">
        <v>6.1466800305207875E-2</v>
      </c>
      <c r="AQ76" s="31">
        <v>1.0094835597808336</v>
      </c>
      <c r="AR76" s="31">
        <v>0.16567420941010258</v>
      </c>
      <c r="AS76" s="31">
        <v>0.12094776889113004</v>
      </c>
      <c r="AT76" s="31">
        <v>0.2658085432435236</v>
      </c>
      <c r="AU76" s="31">
        <v>3.0025397689104893E-2</v>
      </c>
      <c r="AV76" s="31">
        <v>0.17703642731045416</v>
      </c>
      <c r="AW76" s="31">
        <v>0.18167288732682094</v>
      </c>
      <c r="AX76" s="31">
        <v>1.7759788233004243E-2</v>
      </c>
      <c r="AY76" s="31">
        <v>4.2706297296544425E-2</v>
      </c>
      <c r="AZ76" s="31">
        <v>0.10701881506843684</v>
      </c>
      <c r="BA76" s="31">
        <v>2.9838246981516013E-2</v>
      </c>
      <c r="BB76" s="31">
        <v>9.6896969350071166E-2</v>
      </c>
      <c r="BC76" s="31">
        <v>8.7664753791942454E-2</v>
      </c>
      <c r="BD76" s="31">
        <v>0.23327257616287231</v>
      </c>
      <c r="BE76" s="31"/>
      <c r="BF76" s="31">
        <v>0.85094962975908073</v>
      </c>
      <c r="BG76" s="31">
        <v>0.39868664115790553</v>
      </c>
      <c r="BH76" s="31">
        <v>6.8558605542997184E-2</v>
      </c>
      <c r="BI76" s="31">
        <v>0.36032657177003286</v>
      </c>
      <c r="BJ76" s="31">
        <v>0.16882002111774919</v>
      </c>
      <c r="BK76" s="31">
        <v>0.2199712875280182</v>
      </c>
      <c r="BL76" s="31">
        <v>0.20396183143877217</v>
      </c>
      <c r="BM76" s="31">
        <v>3.0020436138424823E-3</v>
      </c>
      <c r="BN76" s="31">
        <v>5.0621997470026742E-2</v>
      </c>
      <c r="BO76" s="31">
        <v>4.9735611360479791E-2</v>
      </c>
      <c r="BP76" s="32">
        <v>0.56205858572045431</v>
      </c>
      <c r="BQ76" s="31">
        <v>1.9586047065166141</v>
      </c>
      <c r="BR76" s="31">
        <v>3.7751407752135306</v>
      </c>
      <c r="BS76" s="31">
        <v>4.3000528902229988E-2</v>
      </c>
      <c r="BT76" s="31">
        <v>0.17522202565135483</v>
      </c>
      <c r="BU76" s="31">
        <v>2.1951149764260021</v>
      </c>
      <c r="BV76" s="31">
        <v>0.79449579459761943</v>
      </c>
      <c r="BW76" s="31">
        <v>1.1414351192155476</v>
      </c>
      <c r="BX76" s="31">
        <v>0.83510502249248819</v>
      </c>
      <c r="BY76" s="31">
        <v>0.7659042642824353</v>
      </c>
      <c r="BZ76" s="31">
        <v>0.47411621286385397</v>
      </c>
      <c r="CA76" s="31">
        <v>0.3084418255854352</v>
      </c>
      <c r="CB76" s="31">
        <v>0.24096817226671169</v>
      </c>
      <c r="CC76" s="31">
        <v>1.9687575358627569</v>
      </c>
      <c r="CD76" s="31">
        <v>0.21341519950940488</v>
      </c>
      <c r="CE76" s="31">
        <v>1.4642595513270376</v>
      </c>
      <c r="CF76" s="31">
        <v>0.26826656735804166</v>
      </c>
      <c r="CG76" s="32">
        <v>0.61720533956535961</v>
      </c>
    </row>
    <row r="77" spans="1:182" x14ac:dyDescent="0.3">
      <c r="A77" s="30" t="s">
        <v>139</v>
      </c>
      <c r="B77" s="31">
        <v>258.96041276778436</v>
      </c>
      <c r="C77" s="31">
        <v>154.78025781642216</v>
      </c>
      <c r="D77" s="31">
        <v>9.1948033817491233</v>
      </c>
      <c r="E77" s="31">
        <v>26.171229416992677</v>
      </c>
      <c r="F77" s="31">
        <v>38.844195854707849</v>
      </c>
      <c r="G77" s="31">
        <v>28.431361671614489</v>
      </c>
      <c r="H77" s="31">
        <v>60.435390507234175</v>
      </c>
      <c r="I77" s="31">
        <v>48.876169369178285</v>
      </c>
      <c r="J77" s="31" t="s">
        <v>136</v>
      </c>
      <c r="K77" s="31">
        <v>53.029304908040537</v>
      </c>
      <c r="L77" s="31">
        <v>11.847438921412207</v>
      </c>
      <c r="M77" s="31">
        <v>10.129007125377987</v>
      </c>
      <c r="N77" s="31">
        <v>33.0829502704524</v>
      </c>
      <c r="O77" s="31">
        <v>6.958241073519269</v>
      </c>
      <c r="P77" s="31">
        <v>145.35419209616893</v>
      </c>
      <c r="Q77" s="31">
        <v>3.015092898541345</v>
      </c>
      <c r="R77" s="31">
        <v>49.140005668882246</v>
      </c>
      <c r="S77" s="31">
        <v>62.490860470788512</v>
      </c>
      <c r="T77" s="31">
        <v>126.82077878407274</v>
      </c>
      <c r="U77" s="31">
        <v>67.761583195538591</v>
      </c>
      <c r="V77" s="31">
        <v>224.11786974122464</v>
      </c>
      <c r="W77" s="31">
        <v>2591.3063153489111</v>
      </c>
      <c r="X77" s="31">
        <v>468.87915666615078</v>
      </c>
      <c r="Y77" s="31">
        <v>226.27339991749798</v>
      </c>
      <c r="Z77" s="31">
        <v>15.088709248625111</v>
      </c>
      <c r="AA77" s="31">
        <v>12.901483141956557</v>
      </c>
      <c r="AB77" s="31">
        <v>21.549771956294528</v>
      </c>
      <c r="AC77" s="31">
        <v>12.195576424540985</v>
      </c>
      <c r="AD77" s="31">
        <v>95.221109093057962</v>
      </c>
      <c r="AE77" s="31">
        <v>50.771591987148753</v>
      </c>
      <c r="AF77" s="31">
        <v>251.54890580080493</v>
      </c>
      <c r="AG77" s="31">
        <v>500.8672393285604</v>
      </c>
      <c r="AH77" s="31">
        <v>76.100835686745057</v>
      </c>
      <c r="AI77" s="32"/>
      <c r="AJ77" s="31"/>
      <c r="AK77" s="31">
        <v>15.361091778844433</v>
      </c>
      <c r="AL77" s="31">
        <v>6.7156688877837851</v>
      </c>
      <c r="AM77" s="31">
        <v>10.348153568368653</v>
      </c>
      <c r="AN77" s="31">
        <v>54.127834642597811</v>
      </c>
      <c r="AO77" s="31">
        <v>4.4992973770289844</v>
      </c>
      <c r="AP77" s="31">
        <v>27.384588876671753</v>
      </c>
      <c r="AQ77" s="31">
        <v>685.90360898080655</v>
      </c>
      <c r="AR77" s="31">
        <v>27.793158431947493</v>
      </c>
      <c r="AS77" s="31">
        <v>33.547423798972794</v>
      </c>
      <c r="AT77" s="31">
        <v>16.255550287996126</v>
      </c>
      <c r="AU77" s="31">
        <v>9.679118765860391</v>
      </c>
      <c r="AV77" s="31">
        <v>50.958509816022932</v>
      </c>
      <c r="AW77" s="31">
        <v>27.752312859105146</v>
      </c>
      <c r="AX77" s="31">
        <v>3.6530015605132764</v>
      </c>
      <c r="AY77" s="31">
        <v>23.606005378025696</v>
      </c>
      <c r="AZ77" s="31">
        <v>16.442512450143528</v>
      </c>
      <c r="BA77" s="31">
        <v>4.8277832172441748E-2</v>
      </c>
      <c r="BB77" s="31">
        <v>81.158752656060997</v>
      </c>
      <c r="BC77" s="31">
        <v>66.339216730619697</v>
      </c>
      <c r="BD77" s="31">
        <v>16.226153643280799</v>
      </c>
      <c r="BE77" s="31"/>
      <c r="BF77" s="31">
        <v>151.86826678940818</v>
      </c>
      <c r="BG77" s="31">
        <v>238.10276136734174</v>
      </c>
      <c r="BH77" s="31">
        <v>8.0512208822769864</v>
      </c>
      <c r="BI77" s="31">
        <v>54.553592460480111</v>
      </c>
      <c r="BJ77" s="31">
        <v>24.185530837285633</v>
      </c>
      <c r="BK77" s="31">
        <v>153.18522450366234</v>
      </c>
      <c r="BL77" s="31">
        <v>98.95496392282341</v>
      </c>
      <c r="BM77" s="31" t="s">
        <v>136</v>
      </c>
      <c r="BN77" s="31">
        <v>22.386310835742535</v>
      </c>
      <c r="BO77" s="31">
        <v>61.661030600210367</v>
      </c>
      <c r="BP77" s="32">
        <v>207.51705764670609</v>
      </c>
      <c r="BQ77" s="31">
        <v>138.01265192489078</v>
      </c>
      <c r="BR77" s="31">
        <v>116.02341662872504</v>
      </c>
      <c r="BS77" s="31">
        <v>5.8917956597482046</v>
      </c>
      <c r="BT77" s="31">
        <v>8.135422680009901</v>
      </c>
      <c r="BU77" s="31">
        <v>3291.3701355455605</v>
      </c>
      <c r="BV77" s="31">
        <v>154.9594277406122</v>
      </c>
      <c r="BW77" s="31">
        <v>102.87154609094661</v>
      </c>
      <c r="BX77" s="31">
        <v>20.390698778792192</v>
      </c>
      <c r="BY77" s="31">
        <v>265.44949381322778</v>
      </c>
      <c r="BZ77" s="31">
        <v>1.5413049186856076</v>
      </c>
      <c r="CA77" s="31">
        <v>8.8679305321356878</v>
      </c>
      <c r="CB77" s="31">
        <v>5.0834837444182464</v>
      </c>
      <c r="CC77" s="31">
        <v>185.46301219173361</v>
      </c>
      <c r="CD77" s="31">
        <v>5.4001830586675785</v>
      </c>
      <c r="CE77" s="31">
        <v>12.459888960734757</v>
      </c>
      <c r="CF77" s="31">
        <v>71.419994875663619</v>
      </c>
      <c r="CG77" s="32">
        <v>4.0349450683407166</v>
      </c>
    </row>
    <row r="78" spans="1:182" x14ac:dyDescent="0.3">
      <c r="A78" s="30" t="s">
        <v>140</v>
      </c>
      <c r="B78" s="31">
        <v>531.57506026827582</v>
      </c>
      <c r="C78" s="31">
        <v>185.74726686827876</v>
      </c>
      <c r="D78" s="31">
        <v>14.672524968070627</v>
      </c>
      <c r="E78" s="31">
        <v>55.77085569339085</v>
      </c>
      <c r="F78" s="31">
        <v>63.728577597752249</v>
      </c>
      <c r="G78" s="31">
        <v>74.790286695977585</v>
      </c>
      <c r="H78" s="31">
        <v>335.9056790387495</v>
      </c>
      <c r="I78" s="31">
        <v>72.745169022517601</v>
      </c>
      <c r="J78" s="31">
        <v>4.5754025281042991E-2</v>
      </c>
      <c r="K78" s="31">
        <v>84.620698697631823</v>
      </c>
      <c r="L78" s="31">
        <v>24.778874765986327</v>
      </c>
      <c r="M78" s="31">
        <v>24.814092274772378</v>
      </c>
      <c r="N78" s="31">
        <v>27.966923373900912</v>
      </c>
      <c r="O78" s="31">
        <v>31.033980400916843</v>
      </c>
      <c r="P78" s="31">
        <v>49.176327110814434</v>
      </c>
      <c r="Q78" s="31">
        <v>6.0795907808158409</v>
      </c>
      <c r="R78" s="31">
        <v>54.83368886735046</v>
      </c>
      <c r="S78" s="31">
        <v>101.80489588083304</v>
      </c>
      <c r="T78" s="31">
        <v>131.68629415449607</v>
      </c>
      <c r="U78" s="31">
        <v>83.763668921457892</v>
      </c>
      <c r="V78" s="31">
        <v>81.776962086098223</v>
      </c>
      <c r="W78" s="31">
        <v>1836.2912516535725</v>
      </c>
      <c r="X78" s="31">
        <v>83.609939912566745</v>
      </c>
      <c r="Y78" s="31">
        <v>26.359534824299836</v>
      </c>
      <c r="Z78" s="31">
        <v>37.121471966426405</v>
      </c>
      <c r="AA78" s="31">
        <v>43.57505400175198</v>
      </c>
      <c r="AB78" s="31">
        <v>75.360716497853431</v>
      </c>
      <c r="AC78" s="31">
        <v>34.607036433644083</v>
      </c>
      <c r="AD78" s="31">
        <v>61.758025307017682</v>
      </c>
      <c r="AE78" s="31">
        <v>123.06419856401787</v>
      </c>
      <c r="AF78" s="31">
        <v>36.443462971476002</v>
      </c>
      <c r="AG78" s="31">
        <v>58.140655170461301</v>
      </c>
      <c r="AH78" s="31">
        <v>151.09587762672879</v>
      </c>
      <c r="AI78" s="32"/>
      <c r="AJ78" s="31"/>
      <c r="AK78" s="31">
        <v>40.618410003177566</v>
      </c>
      <c r="AL78" s="31">
        <v>24.608466472628965</v>
      </c>
      <c r="AM78" s="31">
        <v>8.8449569328725683</v>
      </c>
      <c r="AN78" s="31">
        <v>29.474276997659874</v>
      </c>
      <c r="AO78" s="31">
        <v>15.123328907988812</v>
      </c>
      <c r="AP78" s="31">
        <v>58.37067650557119</v>
      </c>
      <c r="AQ78" s="31">
        <v>25.208435674049639</v>
      </c>
      <c r="AR78" s="31">
        <v>48.448073209970872</v>
      </c>
      <c r="AS78" s="31">
        <v>53.511570884248101</v>
      </c>
      <c r="AT78" s="31">
        <v>73.525298490689821</v>
      </c>
      <c r="AU78" s="31">
        <v>13.203323537850245</v>
      </c>
      <c r="AV78" s="31">
        <v>24.985729454849295</v>
      </c>
      <c r="AW78" s="31">
        <v>6.4672643679805288</v>
      </c>
      <c r="AX78" s="31">
        <v>7.9014208220939519</v>
      </c>
      <c r="AY78" s="31">
        <v>29.19019662847386</v>
      </c>
      <c r="AZ78" s="31">
        <v>36.523482333490968</v>
      </c>
      <c r="BA78" s="31">
        <v>6.26805980998031E-2</v>
      </c>
      <c r="BB78" s="31">
        <v>22.875387676191412</v>
      </c>
      <c r="BC78" s="31">
        <v>32.594676819945192</v>
      </c>
      <c r="BD78" s="31">
        <v>75.059711031705405</v>
      </c>
      <c r="BE78" s="31"/>
      <c r="BF78" s="31">
        <v>70.573436789991661</v>
      </c>
      <c r="BG78" s="31">
        <v>41.936510723396097</v>
      </c>
      <c r="BH78" s="31">
        <v>15.071065065574828</v>
      </c>
      <c r="BI78" s="31">
        <v>63.214392528258664</v>
      </c>
      <c r="BJ78" s="31">
        <v>120.50602995666442</v>
      </c>
      <c r="BK78" s="31">
        <v>218.09711622674834</v>
      </c>
      <c r="BL78" s="31">
        <v>162.92686162577297</v>
      </c>
      <c r="BM78" s="31">
        <v>4.8221108806276197E-2</v>
      </c>
      <c r="BN78" s="31">
        <v>11.539496851310332</v>
      </c>
      <c r="BO78" s="31">
        <v>31.799820304533938</v>
      </c>
      <c r="BP78" s="32">
        <v>3.2467938445834075</v>
      </c>
      <c r="BQ78" s="31">
        <v>73.664805393429333</v>
      </c>
      <c r="BR78" s="31">
        <v>137.13245155152342</v>
      </c>
      <c r="BS78" s="31">
        <v>9.4273859848596668</v>
      </c>
      <c r="BT78" s="31">
        <v>5.3159559127488718</v>
      </c>
      <c r="BU78" s="31">
        <v>692.88422385032845</v>
      </c>
      <c r="BV78" s="31">
        <v>64.436437286938954</v>
      </c>
      <c r="BW78" s="31">
        <v>85.766764963720789</v>
      </c>
      <c r="BX78" s="31">
        <v>29.569731738215104</v>
      </c>
      <c r="BY78" s="31">
        <v>182.43964279072853</v>
      </c>
      <c r="BZ78" s="31">
        <v>11.159090384857388</v>
      </c>
      <c r="CA78" s="31">
        <v>17.540698556646095</v>
      </c>
      <c r="CB78" s="31">
        <v>24.642990883288189</v>
      </c>
      <c r="CC78" s="31">
        <v>78.319417656742814</v>
      </c>
      <c r="CD78" s="31">
        <v>1.5379785859974802</v>
      </c>
      <c r="CE78" s="31">
        <v>17.47111825587718</v>
      </c>
      <c r="CF78" s="31">
        <v>27.033792698899312</v>
      </c>
      <c r="CG78" s="32">
        <v>1.8404077926974163</v>
      </c>
    </row>
    <row r="79" spans="1:182" x14ac:dyDescent="0.3">
      <c r="A79" s="30" t="s">
        <v>141</v>
      </c>
      <c r="B79" s="31" t="s">
        <v>136</v>
      </c>
      <c r="C79" s="31">
        <v>0.16498933405449995</v>
      </c>
      <c r="D79" s="31">
        <v>9.964919785811191E-2</v>
      </c>
      <c r="E79" s="31" t="s">
        <v>136</v>
      </c>
      <c r="F79" s="31">
        <v>2.9749437741204508E-2</v>
      </c>
      <c r="G79" s="31">
        <v>2.3885731724125524E-2</v>
      </c>
      <c r="H79" s="31" t="s">
        <v>136</v>
      </c>
      <c r="I79" s="31">
        <v>1.7019280170444868</v>
      </c>
      <c r="J79" s="31" t="s">
        <v>136</v>
      </c>
      <c r="K79" s="31">
        <v>0.89484628814877265</v>
      </c>
      <c r="L79" s="31">
        <v>0.2072817048687092</v>
      </c>
      <c r="M79" s="31">
        <v>8.0749294227136711E-2</v>
      </c>
      <c r="N79" s="31">
        <v>3.2863031854655209E-2</v>
      </c>
      <c r="O79" s="31">
        <v>8.6633720069018899E-2</v>
      </c>
      <c r="P79" s="31">
        <v>4.8460019043471185E-2</v>
      </c>
      <c r="Q79" s="31">
        <v>7.7121133757235619E-4</v>
      </c>
      <c r="R79" s="31">
        <v>4.82213346473229</v>
      </c>
      <c r="S79" s="31">
        <v>3.3405727671089666E-2</v>
      </c>
      <c r="T79" s="31">
        <v>0.94637532066386854</v>
      </c>
      <c r="U79" s="31">
        <v>0.77753626993049696</v>
      </c>
      <c r="V79" s="31">
        <v>0.12062947228584336</v>
      </c>
      <c r="W79" s="31" t="s">
        <v>136</v>
      </c>
      <c r="X79" s="31" t="s">
        <v>136</v>
      </c>
      <c r="Y79" s="31">
        <v>1.8221991880397522E-2</v>
      </c>
      <c r="Z79" s="31">
        <v>1.0884793976902942</v>
      </c>
      <c r="AA79" s="31">
        <v>0.74366364216449421</v>
      </c>
      <c r="AB79" s="31">
        <v>0.92357312725706098</v>
      </c>
      <c r="AC79" s="31">
        <v>3.6700674803744398</v>
      </c>
      <c r="AD79" s="31">
        <v>0.57326492397264195</v>
      </c>
      <c r="AE79" s="31">
        <v>0.97811581073142984</v>
      </c>
      <c r="AF79" s="31">
        <v>5.6033389085689026E-3</v>
      </c>
      <c r="AG79" s="31">
        <v>5.8743864602153759E-3</v>
      </c>
      <c r="AH79" s="31" t="s">
        <v>136</v>
      </c>
      <c r="AI79" s="32"/>
      <c r="AJ79" s="31"/>
      <c r="AK79" s="31">
        <v>0.1932744180078047</v>
      </c>
      <c r="AL79" s="31">
        <v>2.0557680746948392</v>
      </c>
      <c r="AM79" s="31">
        <v>0.25545248881918264</v>
      </c>
      <c r="AN79" s="31">
        <v>3.7560897335152291E-2</v>
      </c>
      <c r="AO79" s="31">
        <v>3.6390353675555001E-2</v>
      </c>
      <c r="AP79" s="31">
        <v>0.22384569735727675</v>
      </c>
      <c r="AQ79" s="31">
        <v>0.35843024642607424</v>
      </c>
      <c r="AR79" s="31">
        <v>0.39156444082065034</v>
      </c>
      <c r="AS79" s="31">
        <v>6.7864186831434763</v>
      </c>
      <c r="AT79" s="31">
        <v>0.44966518606263917</v>
      </c>
      <c r="AU79" s="31" t="s">
        <v>136</v>
      </c>
      <c r="AV79" s="31">
        <v>0.2223940526481252</v>
      </c>
      <c r="AW79" s="31">
        <v>0.49837380788747204</v>
      </c>
      <c r="AX79" s="31">
        <v>4.7485032102298229E-2</v>
      </c>
      <c r="AY79" s="31">
        <v>7.7611921154528121</v>
      </c>
      <c r="AZ79" s="31">
        <v>0.22843405545034057</v>
      </c>
      <c r="BA79" s="31" t="s">
        <v>136</v>
      </c>
      <c r="BB79" s="31">
        <v>0.17534453422852433</v>
      </c>
      <c r="BC79" s="31">
        <v>8.8256604938694125E-2</v>
      </c>
      <c r="BD79" s="31">
        <v>1.2651694629753554</v>
      </c>
      <c r="BE79" s="31"/>
      <c r="BF79" s="31">
        <v>7.9194456591416725E-3</v>
      </c>
      <c r="BG79" s="31">
        <v>2.1062354613654244E-2</v>
      </c>
      <c r="BH79" s="31">
        <v>3.7594171321441709E-2</v>
      </c>
      <c r="BI79" s="31">
        <v>0.1260383546457241</v>
      </c>
      <c r="BJ79" s="31">
        <v>0.78277526301142164</v>
      </c>
      <c r="BK79" s="31">
        <v>12.05322626476115</v>
      </c>
      <c r="BL79" s="31">
        <v>1.0564684325412712</v>
      </c>
      <c r="BM79" s="31" t="s">
        <v>136</v>
      </c>
      <c r="BN79" s="31">
        <v>0.40041921626630717</v>
      </c>
      <c r="BO79" s="31">
        <v>0.11243636594763415</v>
      </c>
      <c r="BP79" s="32">
        <v>6.2703234190177799</v>
      </c>
      <c r="BQ79" s="31">
        <v>1.4718518454975511</v>
      </c>
      <c r="BR79" s="31">
        <v>2.1560250240494536</v>
      </c>
      <c r="BS79" s="31">
        <v>7.2205401702851432E-2</v>
      </c>
      <c r="BT79" s="31">
        <v>0.17861188314979307</v>
      </c>
      <c r="BU79" s="31">
        <v>9.0428186097491023E-2</v>
      </c>
      <c r="BV79" s="31">
        <v>1.7562981008909277</v>
      </c>
      <c r="BW79" s="31">
        <v>1.1630138175596636</v>
      </c>
      <c r="BX79" s="31">
        <v>2.8562073073459222E-2</v>
      </c>
      <c r="BY79" s="31">
        <v>0.36567369405060129</v>
      </c>
      <c r="BZ79" s="31">
        <v>0.36050017420751412</v>
      </c>
      <c r="CA79" s="31">
        <v>0.24110457265832966</v>
      </c>
      <c r="CB79" s="31">
        <v>7.4615060817583789E-2</v>
      </c>
      <c r="CC79" s="31">
        <v>5.7022910118722486E-2</v>
      </c>
      <c r="CD79" s="31">
        <v>6.4333097333544378E-2</v>
      </c>
      <c r="CE79" s="31">
        <v>1.7900364311271015</v>
      </c>
      <c r="CF79" s="31">
        <v>0.19023468138150046</v>
      </c>
      <c r="CG79" s="32">
        <v>0.14418326925542044</v>
      </c>
    </row>
    <row r="80" spans="1:182" x14ac:dyDescent="0.3">
      <c r="A80" s="30" t="s">
        <v>142</v>
      </c>
      <c r="B80" s="31" t="s">
        <v>136</v>
      </c>
      <c r="C80" s="31">
        <v>16.491019224321235</v>
      </c>
      <c r="D80" s="31">
        <v>12.984207347796826</v>
      </c>
      <c r="E80" s="31" t="s">
        <v>136</v>
      </c>
      <c r="F80" s="31">
        <v>7.6463652829458848</v>
      </c>
      <c r="G80" s="31">
        <v>10.416313560555349</v>
      </c>
      <c r="H80" s="31" t="s">
        <v>136</v>
      </c>
      <c r="I80" s="31">
        <v>5.5038288672000855</v>
      </c>
      <c r="J80" s="31" t="s">
        <v>136</v>
      </c>
      <c r="K80" s="31">
        <v>9.0483201981469321</v>
      </c>
      <c r="L80" s="31">
        <v>13.862741007774087</v>
      </c>
      <c r="M80" s="31">
        <v>16.793802812540182</v>
      </c>
      <c r="N80" s="31">
        <v>10.968940713315916</v>
      </c>
      <c r="O80" s="31">
        <v>15.411516522127661</v>
      </c>
      <c r="P80" s="31">
        <v>6.0628269750142598</v>
      </c>
      <c r="Q80" s="31">
        <v>1.0720417556300801</v>
      </c>
      <c r="R80" s="31">
        <v>31.503432270233414</v>
      </c>
      <c r="S80" s="31">
        <v>1.5942918131195845</v>
      </c>
      <c r="T80" s="31">
        <v>45.853196835579382</v>
      </c>
      <c r="U80" s="31">
        <v>24.133816919954075</v>
      </c>
      <c r="V80" s="31">
        <v>26.44093905303896</v>
      </c>
      <c r="W80" s="31" t="s">
        <v>136</v>
      </c>
      <c r="X80" s="31" t="s">
        <v>136</v>
      </c>
      <c r="Y80" s="31">
        <v>2.3199345707635857</v>
      </c>
      <c r="Z80" s="31">
        <v>21.981368303268841</v>
      </c>
      <c r="AA80" s="31" t="s">
        <v>136</v>
      </c>
      <c r="AB80" s="31">
        <v>17.789386048556665</v>
      </c>
      <c r="AC80" s="31">
        <v>30.152862288153564</v>
      </c>
      <c r="AD80" s="31">
        <v>13.549547832372223</v>
      </c>
      <c r="AE80" s="31">
        <v>31.847184427071284</v>
      </c>
      <c r="AF80" s="31">
        <v>8.7912973723744141</v>
      </c>
      <c r="AG80" s="31">
        <v>7.1928973618308643</v>
      </c>
      <c r="AH80" s="31">
        <v>7.3080461200399069</v>
      </c>
      <c r="AI80" s="32"/>
      <c r="AJ80" s="31"/>
      <c r="AK80" s="31">
        <v>15.873250269662465</v>
      </c>
      <c r="AL80" s="31">
        <v>5.9927523245001026</v>
      </c>
      <c r="AM80" s="31">
        <v>0.53756496269774001</v>
      </c>
      <c r="AN80" s="31">
        <v>2.0999477399559598</v>
      </c>
      <c r="AO80" s="31">
        <v>9.835429608795426</v>
      </c>
      <c r="AP80" s="31">
        <v>18.595846266936935</v>
      </c>
      <c r="AQ80" s="31">
        <v>7.9316679391087854</v>
      </c>
      <c r="AR80" s="31">
        <v>22.549328913493046</v>
      </c>
      <c r="AS80" s="31">
        <v>28.289512849017438</v>
      </c>
      <c r="AT80" s="31">
        <v>49.653158258598197</v>
      </c>
      <c r="AU80" s="31">
        <v>1.5784346846002224</v>
      </c>
      <c r="AV80" s="31">
        <v>2.719841204448731</v>
      </c>
      <c r="AW80" s="31">
        <v>3.9556695174206005</v>
      </c>
      <c r="AX80" s="31">
        <v>5.1264267532566068</v>
      </c>
      <c r="AY80" s="31">
        <v>8.1149359649371338</v>
      </c>
      <c r="AZ80" s="31">
        <v>15.501360854420932</v>
      </c>
      <c r="BA80" s="31">
        <v>0.26082501992056223</v>
      </c>
      <c r="BB80" s="31">
        <v>4.9216338716426975</v>
      </c>
      <c r="BC80" s="31">
        <v>8.9990732263318023</v>
      </c>
      <c r="BD80" s="31">
        <v>45.088146195645777</v>
      </c>
      <c r="BE80" s="31"/>
      <c r="BF80" s="31">
        <v>7.7909641347238106</v>
      </c>
      <c r="BG80" s="31">
        <v>2.9140840528853937</v>
      </c>
      <c r="BH80" s="31">
        <v>6.3275504177341224</v>
      </c>
      <c r="BI80" s="31">
        <v>24.053737395197494</v>
      </c>
      <c r="BJ80" s="31">
        <v>24.043320424332752</v>
      </c>
      <c r="BK80" s="31">
        <v>19.1846701973768</v>
      </c>
      <c r="BL80" s="31">
        <v>48.723521165266142</v>
      </c>
      <c r="BM80" s="31" t="s">
        <v>136</v>
      </c>
      <c r="BN80" s="31">
        <v>5.3689794731936988</v>
      </c>
      <c r="BO80" s="31">
        <v>1.4985202943452469</v>
      </c>
      <c r="BP80" s="32">
        <v>11.192937537679921</v>
      </c>
      <c r="BQ80" s="31">
        <v>44.367517654325248</v>
      </c>
      <c r="BR80" s="31">
        <v>52.324757802036736</v>
      </c>
      <c r="BS80" s="31">
        <v>11.776394038002957</v>
      </c>
      <c r="BT80" s="31">
        <v>10.042263922421039</v>
      </c>
      <c r="BU80" s="31">
        <v>14.000844054345063</v>
      </c>
      <c r="BV80" s="31">
        <v>28.349863028732635</v>
      </c>
      <c r="BW80" s="31">
        <v>119.8442728384092</v>
      </c>
      <c r="BX80" s="31">
        <v>26.580966236996971</v>
      </c>
      <c r="BY80" s="31">
        <v>27.593926826664994</v>
      </c>
      <c r="BZ80" s="31">
        <v>2.0449218188270994</v>
      </c>
      <c r="CA80" s="31">
        <v>39.206374216364402</v>
      </c>
      <c r="CB80" s="31">
        <v>35.904349576070317</v>
      </c>
      <c r="CC80" s="31">
        <v>30.202654063256077</v>
      </c>
      <c r="CD80" s="31" t="s">
        <v>136</v>
      </c>
      <c r="CE80" s="31">
        <v>9.022231344210887</v>
      </c>
      <c r="CF80" s="31">
        <v>7.4177136130837393</v>
      </c>
      <c r="CG80" s="32">
        <v>10.497419813347744</v>
      </c>
    </row>
    <row r="81" spans="1:182" s="68" customFormat="1" x14ac:dyDescent="0.3">
      <c r="A81" s="65" t="s">
        <v>143</v>
      </c>
      <c r="B81" s="66">
        <v>131.75666790718375</v>
      </c>
      <c r="C81" s="66">
        <v>75.386034502573125</v>
      </c>
      <c r="D81" s="66">
        <v>10.943861553430253</v>
      </c>
      <c r="E81" s="66">
        <v>37.136765027773926</v>
      </c>
      <c r="F81" s="66">
        <v>95.335790000482149</v>
      </c>
      <c r="G81" s="66">
        <v>19.169257159598974</v>
      </c>
      <c r="H81" s="66">
        <v>228.70191843352634</v>
      </c>
      <c r="I81" s="66">
        <v>105.27326917540931</v>
      </c>
      <c r="J81" s="66">
        <v>2.948228679999779</v>
      </c>
      <c r="K81" s="66">
        <v>259.01751358836179</v>
      </c>
      <c r="L81" s="66">
        <v>12.328757765512961</v>
      </c>
      <c r="M81" s="66">
        <v>27.029502442078368</v>
      </c>
      <c r="N81" s="66">
        <v>45.320565223245964</v>
      </c>
      <c r="O81" s="66">
        <v>12.20647873608098</v>
      </c>
      <c r="P81" s="66">
        <v>24.299693340302557</v>
      </c>
      <c r="Q81" s="66">
        <v>5.5216154922067933</v>
      </c>
      <c r="R81" s="66">
        <v>73.443328959820633</v>
      </c>
      <c r="S81" s="66">
        <v>75.136260800030811</v>
      </c>
      <c r="T81" s="66">
        <v>161.56199361584484</v>
      </c>
      <c r="U81" s="66">
        <v>73.724271173724119</v>
      </c>
      <c r="V81" s="66">
        <v>90.085497465139298</v>
      </c>
      <c r="W81" s="66">
        <v>6917.3943608555956</v>
      </c>
      <c r="X81" s="66">
        <v>685.4446479208699</v>
      </c>
      <c r="Y81" s="66">
        <v>333.20894572168777</v>
      </c>
      <c r="Z81" s="66">
        <v>30.830071827584486</v>
      </c>
      <c r="AA81" s="66">
        <v>62.019597163668628</v>
      </c>
      <c r="AB81" s="66">
        <v>62.394112911031925</v>
      </c>
      <c r="AC81" s="66">
        <v>16.064658508332521</v>
      </c>
      <c r="AD81" s="66">
        <v>317.62051652952363</v>
      </c>
      <c r="AE81" s="66">
        <v>83.927417624723802</v>
      </c>
      <c r="AF81" s="66">
        <v>308.84170396237641</v>
      </c>
      <c r="AG81" s="66">
        <v>557.19702818856445</v>
      </c>
      <c r="AH81" s="66">
        <v>48.839230366966241</v>
      </c>
      <c r="AI81" s="67"/>
      <c r="AJ81" s="66"/>
      <c r="AK81" s="66">
        <v>8.9669301426127586</v>
      </c>
      <c r="AL81" s="66">
        <v>10.306652743244829</v>
      </c>
      <c r="AM81" s="66">
        <v>20.695399674482136</v>
      </c>
      <c r="AN81" s="66">
        <v>54.360667773222012</v>
      </c>
      <c r="AO81" s="66">
        <v>2.796363198710849</v>
      </c>
      <c r="AP81" s="66">
        <v>45.193920231177373</v>
      </c>
      <c r="AQ81" s="66">
        <v>444.58512387497359</v>
      </c>
      <c r="AR81" s="66">
        <v>39.919981863154895</v>
      </c>
      <c r="AS81" s="66">
        <v>35.405956573352078</v>
      </c>
      <c r="AT81" s="66">
        <v>25.999105184692869</v>
      </c>
      <c r="AU81" s="66">
        <v>6.3029475167138793</v>
      </c>
      <c r="AV81" s="66">
        <v>28.517228705213885</v>
      </c>
      <c r="AW81" s="66">
        <v>5.3954493359284008</v>
      </c>
      <c r="AX81" s="66">
        <v>10.648154825369913</v>
      </c>
      <c r="AY81" s="66">
        <v>61.031485716216629</v>
      </c>
      <c r="AZ81" s="66">
        <v>17.763376746775354</v>
      </c>
      <c r="BA81" s="66">
        <v>6.8747813699298446</v>
      </c>
      <c r="BB81" s="66">
        <v>20.215218606631456</v>
      </c>
      <c r="BC81" s="66">
        <v>188.11707271148907</v>
      </c>
      <c r="BD81" s="66">
        <v>36.616406346878634</v>
      </c>
      <c r="BE81" s="66"/>
      <c r="BF81" s="66">
        <v>101.17461049078739</v>
      </c>
      <c r="BG81" s="66">
        <v>332.71084403716253</v>
      </c>
      <c r="BH81" s="66">
        <v>4.8098967033948057</v>
      </c>
      <c r="BI81" s="66">
        <v>85.650100815393344</v>
      </c>
      <c r="BJ81" s="66">
        <v>50.923005433915549</v>
      </c>
      <c r="BK81" s="66">
        <v>410.36472332774139</v>
      </c>
      <c r="BL81" s="66">
        <v>96.603687096886603</v>
      </c>
      <c r="BM81" s="66">
        <v>5.911475393881906</v>
      </c>
      <c r="BN81" s="66">
        <v>12.933020053553511</v>
      </c>
      <c r="BO81" s="66">
        <v>34.814189948202646</v>
      </c>
      <c r="BP81" s="67">
        <v>112.0287831619182</v>
      </c>
      <c r="BQ81" s="66">
        <v>297.42043499571673</v>
      </c>
      <c r="BR81" s="66">
        <v>681.26746078382826</v>
      </c>
      <c r="BS81" s="66">
        <v>82.023773055089023</v>
      </c>
      <c r="BT81" s="66">
        <v>28.208264246568117</v>
      </c>
      <c r="BU81" s="66">
        <v>8426.37833401028</v>
      </c>
      <c r="BV81" s="66">
        <v>282.40426887416339</v>
      </c>
      <c r="BW81" s="66">
        <v>953.65784043233418</v>
      </c>
      <c r="BX81" s="66">
        <v>97.629580873400471</v>
      </c>
      <c r="BY81" s="66">
        <v>118.726566197842</v>
      </c>
      <c r="BZ81" s="66">
        <v>97.56663248556309</v>
      </c>
      <c r="CA81" s="66">
        <v>395.32817976300208</v>
      </c>
      <c r="CB81" s="66">
        <v>130.7157447482513</v>
      </c>
      <c r="CC81" s="66">
        <v>822.60592893146497</v>
      </c>
      <c r="CD81" s="66">
        <v>1076.6816909174754</v>
      </c>
      <c r="CE81" s="66">
        <v>209.97354904188882</v>
      </c>
      <c r="CF81" s="66">
        <v>46.829011283302293</v>
      </c>
      <c r="CG81" s="67">
        <v>178.6492075467809</v>
      </c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</row>
    <row r="82" spans="1:182" s="68" customFormat="1" x14ac:dyDescent="0.3">
      <c r="A82" s="65" t="s">
        <v>144</v>
      </c>
      <c r="B82" s="66">
        <v>246.4044250375251</v>
      </c>
      <c r="C82" s="66">
        <v>28.961563478900111</v>
      </c>
      <c r="D82" s="66">
        <v>12.151678193415968</v>
      </c>
      <c r="E82" s="66" t="s">
        <v>136</v>
      </c>
      <c r="F82" s="66">
        <v>41.612052097383945</v>
      </c>
      <c r="G82" s="66">
        <v>54.713019549892081</v>
      </c>
      <c r="H82" s="66">
        <v>155.06621027404574</v>
      </c>
      <c r="I82" s="66">
        <v>15.532618261235541</v>
      </c>
      <c r="J82" s="66" t="s">
        <v>136</v>
      </c>
      <c r="K82" s="66">
        <v>27.538732047901718</v>
      </c>
      <c r="L82" s="66">
        <v>16.157824709592447</v>
      </c>
      <c r="M82" s="66">
        <v>22.493678391884981</v>
      </c>
      <c r="N82" s="66">
        <v>12.611801092878244</v>
      </c>
      <c r="O82" s="66">
        <v>12.48873808021078</v>
      </c>
      <c r="P82" s="66">
        <v>55.682563020248018</v>
      </c>
      <c r="Q82" s="66">
        <v>10.870271383028271</v>
      </c>
      <c r="R82" s="66">
        <v>28.219287918577702</v>
      </c>
      <c r="S82" s="66">
        <v>40.153944177558202</v>
      </c>
      <c r="T82" s="66">
        <v>147.30988176832895</v>
      </c>
      <c r="U82" s="66">
        <v>122.96791809015714</v>
      </c>
      <c r="V82" s="66">
        <v>75.254251758635618</v>
      </c>
      <c r="W82" s="66">
        <v>52.987496135542031</v>
      </c>
      <c r="X82" s="66">
        <v>70.326244428088813</v>
      </c>
      <c r="Y82" s="66">
        <v>22.144567925891344</v>
      </c>
      <c r="Z82" s="66">
        <v>41.727420178488337</v>
      </c>
      <c r="AA82" s="66">
        <v>19.084145157195476</v>
      </c>
      <c r="AB82" s="66">
        <v>15.435215383682372</v>
      </c>
      <c r="AC82" s="66">
        <v>41.942330280543281</v>
      </c>
      <c r="AD82" s="66">
        <v>8.3116968511435694</v>
      </c>
      <c r="AE82" s="66">
        <v>58.083495271096425</v>
      </c>
      <c r="AF82" s="66">
        <v>27.146059039063598</v>
      </c>
      <c r="AG82" s="66">
        <v>38.190458705759525</v>
      </c>
      <c r="AH82" s="66">
        <v>28.026622682895272</v>
      </c>
      <c r="AI82" s="67"/>
      <c r="AJ82" s="66"/>
      <c r="AK82" s="66">
        <v>6.5898498057694539</v>
      </c>
      <c r="AL82" s="66">
        <v>6.1290620067320347</v>
      </c>
      <c r="AM82" s="66">
        <v>0.21667701906113412</v>
      </c>
      <c r="AN82" s="66">
        <v>39.632768207752328</v>
      </c>
      <c r="AO82" s="66">
        <v>12.728439403005535</v>
      </c>
      <c r="AP82" s="66">
        <v>18.646712284084895</v>
      </c>
      <c r="AQ82" s="66">
        <v>22.112519238612855</v>
      </c>
      <c r="AR82" s="66">
        <v>44.183047942104331</v>
      </c>
      <c r="AS82" s="66">
        <v>16.57685951522739</v>
      </c>
      <c r="AT82" s="66">
        <v>93.251386319780806</v>
      </c>
      <c r="AU82" s="66">
        <v>13.63503818878463</v>
      </c>
      <c r="AV82" s="66">
        <v>15.244848114058826</v>
      </c>
      <c r="AW82" s="66">
        <v>7.3268422491139118</v>
      </c>
      <c r="AX82" s="66">
        <v>33.898984507665105</v>
      </c>
      <c r="AY82" s="66">
        <v>2.7382928103824269</v>
      </c>
      <c r="AZ82" s="66">
        <v>10.233666279137587</v>
      </c>
      <c r="BA82" s="66" t="s">
        <v>136</v>
      </c>
      <c r="BB82" s="66">
        <v>67.27853716048233</v>
      </c>
      <c r="BC82" s="66">
        <v>4.6091869731210986</v>
      </c>
      <c r="BD82" s="66">
        <v>102.51961274380666</v>
      </c>
      <c r="BE82" s="66"/>
      <c r="BF82" s="66">
        <v>70.266514252668173</v>
      </c>
      <c r="BG82" s="66">
        <v>20.520602781835414</v>
      </c>
      <c r="BH82" s="66">
        <v>8.3096807882344415</v>
      </c>
      <c r="BI82" s="66">
        <v>139.495954237993</v>
      </c>
      <c r="BJ82" s="66">
        <v>40.155190395119561</v>
      </c>
      <c r="BK82" s="66">
        <v>5.7026036804513414</v>
      </c>
      <c r="BL82" s="66">
        <v>124.48132216858806</v>
      </c>
      <c r="BM82" s="66" t="s">
        <v>136</v>
      </c>
      <c r="BN82" s="66">
        <v>10.514899648998878</v>
      </c>
      <c r="BO82" s="66">
        <v>21.133206566361459</v>
      </c>
      <c r="BP82" s="67">
        <v>8.0978141049299612</v>
      </c>
      <c r="BQ82" s="66">
        <v>363.93989182935218</v>
      </c>
      <c r="BR82" s="66">
        <v>340.02948822486275</v>
      </c>
      <c r="BS82" s="66">
        <v>1.5442159878060959</v>
      </c>
      <c r="BT82" s="66">
        <v>12.386477110776815</v>
      </c>
      <c r="BU82" s="66">
        <v>213.09576442772931</v>
      </c>
      <c r="BV82" s="66">
        <v>234.98938761578546</v>
      </c>
      <c r="BW82" s="66">
        <v>133.30645177729426</v>
      </c>
      <c r="BX82" s="66">
        <v>96.638394312388257</v>
      </c>
      <c r="BY82" s="66">
        <v>346.04030357103795</v>
      </c>
      <c r="BZ82" s="66">
        <v>11.511533899618128</v>
      </c>
      <c r="CA82" s="66">
        <v>9.5783073055691492</v>
      </c>
      <c r="CB82" s="66">
        <v>54.868209686986262</v>
      </c>
      <c r="CC82" s="66">
        <v>71.216300872536266</v>
      </c>
      <c r="CD82" s="66" t="s">
        <v>136</v>
      </c>
      <c r="CE82" s="66" t="s">
        <v>136</v>
      </c>
      <c r="CF82" s="66">
        <v>58.490444341823689</v>
      </c>
      <c r="CG82" s="67">
        <v>9.2526807004263052</v>
      </c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</row>
    <row r="83" spans="1:182" x14ac:dyDescent="0.3">
      <c r="A83" s="30" t="s">
        <v>145</v>
      </c>
      <c r="B83" s="31">
        <v>33.219166485509611</v>
      </c>
      <c r="C83" s="31">
        <v>1.0890181413354167</v>
      </c>
      <c r="D83" s="31">
        <v>0.43290663204041002</v>
      </c>
      <c r="E83" s="31">
        <v>0.52110348191200639</v>
      </c>
      <c r="F83" s="31">
        <v>0.49217216034238831</v>
      </c>
      <c r="G83" s="31">
        <v>0.33742441023170988</v>
      </c>
      <c r="H83" s="31">
        <v>157.96389691907376</v>
      </c>
      <c r="I83" s="31">
        <v>2.2114718480933973</v>
      </c>
      <c r="J83" s="31" t="s">
        <v>136</v>
      </c>
      <c r="K83" s="31">
        <v>1.290267904055131</v>
      </c>
      <c r="L83" s="31">
        <v>0.55412325665231088</v>
      </c>
      <c r="M83" s="31">
        <v>0.82642938666946464</v>
      </c>
      <c r="N83" s="31">
        <v>0.79095186748576762</v>
      </c>
      <c r="O83" s="31">
        <v>0.44232038540335999</v>
      </c>
      <c r="P83" s="31">
        <v>3.2916492196839782</v>
      </c>
      <c r="Q83" s="31">
        <v>1.7312658210437214E-2</v>
      </c>
      <c r="R83" s="31">
        <v>4.1684953388573431</v>
      </c>
      <c r="S83" s="31">
        <v>0.94403175766961578</v>
      </c>
      <c r="T83" s="31">
        <v>98.296224602301535</v>
      </c>
      <c r="U83" s="31">
        <v>3.1060076046499341</v>
      </c>
      <c r="V83" s="31">
        <v>0.70150331196435534</v>
      </c>
      <c r="W83" s="31">
        <v>0.9330036628230336</v>
      </c>
      <c r="X83" s="31">
        <v>0.55947315058782809</v>
      </c>
      <c r="Y83" s="31">
        <v>0.11279178267048333</v>
      </c>
      <c r="Z83" s="31">
        <v>3.1829535673306202</v>
      </c>
      <c r="AA83" s="31">
        <v>2.2527129614787738</v>
      </c>
      <c r="AB83" s="31">
        <v>1.4230380863361451</v>
      </c>
      <c r="AC83" s="31">
        <v>1.4093235460829532</v>
      </c>
      <c r="AD83" s="31">
        <v>0.47937302699123358</v>
      </c>
      <c r="AE83" s="31">
        <v>2.1246578598554557</v>
      </c>
      <c r="AF83" s="31">
        <v>0.1517560058738914</v>
      </c>
      <c r="AG83" s="31">
        <v>0.20124998055112966</v>
      </c>
      <c r="AH83" s="31">
        <v>27.711434089824031</v>
      </c>
      <c r="AI83" s="32"/>
      <c r="AJ83" s="31"/>
      <c r="AK83" s="31">
        <v>0.83252309859445439</v>
      </c>
      <c r="AL83" s="31">
        <v>0.38865032811627342</v>
      </c>
      <c r="AM83" s="31">
        <v>0.62071161859537538</v>
      </c>
      <c r="AN83" s="31">
        <v>0.16377755711569833</v>
      </c>
      <c r="AO83" s="31">
        <v>0.27787976885656213</v>
      </c>
      <c r="AP83" s="31">
        <v>1.8833050290804436</v>
      </c>
      <c r="AQ83" s="31">
        <v>0.16522760399636344</v>
      </c>
      <c r="AR83" s="31">
        <v>1.7313324457846768</v>
      </c>
      <c r="AS83" s="31">
        <v>2.6970612369992515</v>
      </c>
      <c r="AT83" s="31">
        <v>9.9785875157836355</v>
      </c>
      <c r="AU83" s="31">
        <v>1.6117962385315928E-2</v>
      </c>
      <c r="AV83" s="31">
        <v>9.2224196412522164E-2</v>
      </c>
      <c r="AW83" s="31">
        <v>0.16000018868760948</v>
      </c>
      <c r="AX83" s="31">
        <v>10.457006644586869</v>
      </c>
      <c r="AY83" s="31">
        <v>0.51302754848129117</v>
      </c>
      <c r="AZ83" s="31">
        <v>0.78457603232018525</v>
      </c>
      <c r="BA83" s="31">
        <v>6.7710460152444717E-3</v>
      </c>
      <c r="BB83" s="31">
        <v>0.18051862893843687</v>
      </c>
      <c r="BC83" s="31">
        <v>0.40653565523790491</v>
      </c>
      <c r="BD83" s="31">
        <v>3.0735596362838349</v>
      </c>
      <c r="BE83" s="31"/>
      <c r="BF83" s="31">
        <v>1.1875963104000475</v>
      </c>
      <c r="BG83" s="31">
        <v>6.9965996531753588E-2</v>
      </c>
      <c r="BH83" s="31">
        <v>0.30365709199416241</v>
      </c>
      <c r="BI83" s="31">
        <v>21.313354055091914</v>
      </c>
      <c r="BJ83" s="31">
        <v>1.989167513396993</v>
      </c>
      <c r="BK83" s="31">
        <v>3.0446957959714744</v>
      </c>
      <c r="BL83" s="31">
        <v>2.5993679525197093</v>
      </c>
      <c r="BM83" s="31" t="s">
        <v>136</v>
      </c>
      <c r="BN83" s="31">
        <v>1.1839501801688899</v>
      </c>
      <c r="BO83" s="31">
        <v>0.49242848824285945</v>
      </c>
      <c r="BP83" s="32">
        <v>0.21588711135668545</v>
      </c>
      <c r="BQ83" s="31">
        <v>456.93097136990139</v>
      </c>
      <c r="BR83" s="31">
        <v>29.441571884686454</v>
      </c>
      <c r="BS83" s="31">
        <v>8.3058805330689722</v>
      </c>
      <c r="BT83" s="31">
        <v>2.1523049550241486</v>
      </c>
      <c r="BU83" s="31">
        <v>0.34498345299619776</v>
      </c>
      <c r="BV83" s="31">
        <v>120.16791198177772</v>
      </c>
      <c r="BW83" s="31">
        <v>33.438887243640053</v>
      </c>
      <c r="BX83" s="31">
        <v>6.1130232119522878</v>
      </c>
      <c r="BY83" s="31">
        <v>11.133030657804788</v>
      </c>
      <c r="BZ83" s="31">
        <v>51.990289506001034</v>
      </c>
      <c r="CA83" s="31">
        <v>93.531335485318763</v>
      </c>
      <c r="CB83" s="31">
        <v>36.734753152326512</v>
      </c>
      <c r="CC83" s="31">
        <v>2.8157495613627677</v>
      </c>
      <c r="CD83" s="31">
        <v>187.81563300325431</v>
      </c>
      <c r="CE83" s="31">
        <v>276.249339753583</v>
      </c>
      <c r="CF83" s="31">
        <v>1.2831335753607545</v>
      </c>
      <c r="CG83" s="32">
        <v>172.53585015044177</v>
      </c>
    </row>
    <row r="84" spans="1:182" x14ac:dyDescent="0.3">
      <c r="A84" s="30" t="s">
        <v>146</v>
      </c>
      <c r="B84" s="31">
        <v>120.9955616089852</v>
      </c>
      <c r="C84" s="31">
        <v>20.352466958635571</v>
      </c>
      <c r="D84" s="31">
        <v>26.632429279495913</v>
      </c>
      <c r="E84" s="31">
        <v>19.562934413034938</v>
      </c>
      <c r="F84" s="31">
        <v>566.28237838430255</v>
      </c>
      <c r="G84" s="31">
        <v>168.52246130257129</v>
      </c>
      <c r="H84" s="31">
        <v>194.49055837775677</v>
      </c>
      <c r="I84" s="31">
        <v>31.789829880919136</v>
      </c>
      <c r="J84" s="31">
        <v>1.4753756654598462E-2</v>
      </c>
      <c r="K84" s="31">
        <v>41.906064663843438</v>
      </c>
      <c r="L84" s="31">
        <v>12.446008668256303</v>
      </c>
      <c r="M84" s="31">
        <v>13.106103713687727</v>
      </c>
      <c r="N84" s="31">
        <v>42.788580306823413</v>
      </c>
      <c r="O84" s="31">
        <v>14.710626806593975</v>
      </c>
      <c r="P84" s="31">
        <v>26.263615892621122</v>
      </c>
      <c r="Q84" s="31">
        <v>5.2635041799561035</v>
      </c>
      <c r="R84" s="31">
        <v>57.734421790311409</v>
      </c>
      <c r="S84" s="31">
        <v>19.876450462091785</v>
      </c>
      <c r="T84" s="31">
        <v>58.878918353940328</v>
      </c>
      <c r="U84" s="31">
        <v>36.951318897623047</v>
      </c>
      <c r="V84" s="31">
        <v>184.90269402177398</v>
      </c>
      <c r="W84" s="31">
        <v>1861.1818599154501</v>
      </c>
      <c r="X84" s="31">
        <v>163.57038722594785</v>
      </c>
      <c r="Y84" s="31">
        <v>90.141493740995941</v>
      </c>
      <c r="Z84" s="31">
        <v>32.964794229897393</v>
      </c>
      <c r="AA84" s="31">
        <v>21.290711315206892</v>
      </c>
      <c r="AB84" s="31">
        <v>23.463188431616977</v>
      </c>
      <c r="AC84" s="31">
        <v>39.626899784450721</v>
      </c>
      <c r="AD84" s="31">
        <v>108.86032347816722</v>
      </c>
      <c r="AE84" s="31">
        <v>333.26941584665167</v>
      </c>
      <c r="AF84" s="31">
        <v>36.617770675199687</v>
      </c>
      <c r="AG84" s="31">
        <v>265.91459754794209</v>
      </c>
      <c r="AH84" s="31">
        <v>142.79476133209661</v>
      </c>
      <c r="AI84" s="32"/>
      <c r="AJ84" s="31"/>
      <c r="AK84" s="31">
        <v>16.718589761053646</v>
      </c>
      <c r="AL84" s="31">
        <v>92.841351927141488</v>
      </c>
      <c r="AM84" s="31">
        <v>31.107950535043607</v>
      </c>
      <c r="AN84" s="31">
        <v>163.86868633438144</v>
      </c>
      <c r="AO84" s="31">
        <v>4.1315102766859226</v>
      </c>
      <c r="AP84" s="31">
        <v>29.560542517198726</v>
      </c>
      <c r="AQ84" s="31">
        <v>246.97286141012083</v>
      </c>
      <c r="AR84" s="31">
        <v>37.536185436922857</v>
      </c>
      <c r="AS84" s="31">
        <v>34.087486714462941</v>
      </c>
      <c r="AT84" s="31">
        <v>23.757902574235384</v>
      </c>
      <c r="AU84" s="31">
        <v>9.1812506482295664</v>
      </c>
      <c r="AV84" s="31">
        <v>75.570850365362986</v>
      </c>
      <c r="AW84" s="31">
        <v>6.7344929494667793</v>
      </c>
      <c r="AX84" s="31">
        <v>3.6638657558210053</v>
      </c>
      <c r="AY84" s="31">
        <v>69.875232426048328</v>
      </c>
      <c r="AZ84" s="31">
        <v>16.476490978690464</v>
      </c>
      <c r="BA84" s="31">
        <v>7.3860872184216456E-2</v>
      </c>
      <c r="BB84" s="31">
        <v>11.284274813133717</v>
      </c>
      <c r="BC84" s="31">
        <v>40.036531190883672</v>
      </c>
      <c r="BD84" s="31">
        <v>36.363026778590601</v>
      </c>
      <c r="BE84" s="31"/>
      <c r="BF84" s="31">
        <v>79.4023149733395</v>
      </c>
      <c r="BG84" s="31">
        <v>105.22347971120975</v>
      </c>
      <c r="BH84" s="31">
        <v>5.9484033794622899</v>
      </c>
      <c r="BI84" s="31">
        <v>59.443149857065912</v>
      </c>
      <c r="BJ84" s="31">
        <v>39.429992374449284</v>
      </c>
      <c r="BK84" s="31">
        <v>420.25501004818568</v>
      </c>
      <c r="BL84" s="31">
        <v>118.45032105616201</v>
      </c>
      <c r="BM84" s="31">
        <v>7.2234035219924109E-2</v>
      </c>
      <c r="BN84" s="31">
        <v>11.139965680131272</v>
      </c>
      <c r="BO84" s="31">
        <v>36.492728914221139</v>
      </c>
      <c r="BP84" s="32">
        <v>42.502175610702473</v>
      </c>
      <c r="BQ84" s="31">
        <v>329.25599528115924</v>
      </c>
      <c r="BR84" s="31">
        <v>37.603845482130268</v>
      </c>
      <c r="BS84" s="31">
        <v>480.36958878070567</v>
      </c>
      <c r="BT84" s="31">
        <v>41.728773006061807</v>
      </c>
      <c r="BU84" s="31">
        <v>8.0014737283110779</v>
      </c>
      <c r="BV84" s="31">
        <v>176.35674031992983</v>
      </c>
      <c r="BW84" s="31">
        <v>110.123839638969</v>
      </c>
      <c r="BX84" s="31">
        <v>2.3718640417718175</v>
      </c>
      <c r="BY84" s="31">
        <v>18.919782614748826</v>
      </c>
      <c r="BZ84" s="31">
        <v>47.515186361218085</v>
      </c>
      <c r="CA84" s="31">
        <v>276.24948027303776</v>
      </c>
      <c r="CB84" s="31">
        <v>414.86567944051899</v>
      </c>
      <c r="CC84" s="31">
        <v>18.327944480755221</v>
      </c>
      <c r="CD84" s="31">
        <v>80.107423146882539</v>
      </c>
      <c r="CE84" s="31">
        <v>278.97236599957108</v>
      </c>
      <c r="CF84" s="31">
        <v>3.6166790660364119</v>
      </c>
      <c r="CG84" s="32">
        <v>144.19845028020436</v>
      </c>
    </row>
    <row r="85" spans="1:182" x14ac:dyDescent="0.3">
      <c r="A85" s="30" t="s">
        <v>147</v>
      </c>
      <c r="B85" s="31">
        <v>578.74871092384512</v>
      </c>
      <c r="C85" s="31">
        <v>213.11281027842705</v>
      </c>
      <c r="D85" s="31">
        <v>59.045450184232564</v>
      </c>
      <c r="E85" s="31">
        <v>103.04802764667839</v>
      </c>
      <c r="F85" s="31">
        <v>631.23053175579207</v>
      </c>
      <c r="G85" s="31">
        <v>226.13400821336148</v>
      </c>
      <c r="H85" s="31">
        <v>776.61135909241648</v>
      </c>
      <c r="I85" s="31">
        <v>167.25256907346417</v>
      </c>
      <c r="J85" s="31">
        <v>8.4110944184350819E-2</v>
      </c>
      <c r="K85" s="31">
        <v>273.45114659370518</v>
      </c>
      <c r="L85" s="31">
        <v>107.87345621347706</v>
      </c>
      <c r="M85" s="31">
        <v>123.82051204309779</v>
      </c>
      <c r="N85" s="31">
        <v>64.241092499858965</v>
      </c>
      <c r="O85" s="31">
        <v>147.0323150950644</v>
      </c>
      <c r="P85" s="31">
        <v>13.071513955054815</v>
      </c>
      <c r="Q85" s="31">
        <v>9.7839087787209156</v>
      </c>
      <c r="R85" s="31">
        <v>192.91539128750645</v>
      </c>
      <c r="S85" s="31">
        <v>209.86779113981109</v>
      </c>
      <c r="T85" s="31">
        <v>447.4928599939725</v>
      </c>
      <c r="U85" s="31">
        <v>289.8506550197406</v>
      </c>
      <c r="V85" s="31">
        <v>215.34677807079967</v>
      </c>
      <c r="W85" s="31">
        <v>2190.9895612427326</v>
      </c>
      <c r="X85" s="31">
        <v>166.3654628059567</v>
      </c>
      <c r="Y85" s="31">
        <v>90.26191929221747</v>
      </c>
      <c r="Z85" s="31">
        <v>175.46813756002541</v>
      </c>
      <c r="AA85" s="31">
        <v>187.76005093473037</v>
      </c>
      <c r="AB85" s="31">
        <v>102.71148318226871</v>
      </c>
      <c r="AC85" s="31">
        <v>89.498687254916874</v>
      </c>
      <c r="AD85" s="31">
        <v>160.74575270164428</v>
      </c>
      <c r="AE85" s="31">
        <v>329.34853321959025</v>
      </c>
      <c r="AF85" s="31">
        <v>67.289493940671761</v>
      </c>
      <c r="AG85" s="31">
        <v>179.24780601471804</v>
      </c>
      <c r="AH85" s="31">
        <v>259.53869425735684</v>
      </c>
      <c r="AI85" s="32"/>
      <c r="AJ85" s="31"/>
      <c r="AK85" s="31">
        <v>100.28462672587263</v>
      </c>
      <c r="AL85" s="31">
        <v>61.487610490872072</v>
      </c>
      <c r="AM85" s="31">
        <v>6.3665493841993586</v>
      </c>
      <c r="AN85" s="31">
        <v>97.512693724696092</v>
      </c>
      <c r="AO85" s="31">
        <v>73.030853102884109</v>
      </c>
      <c r="AP85" s="31">
        <v>111.57465638459178</v>
      </c>
      <c r="AQ85" s="31">
        <v>60.94382546998532</v>
      </c>
      <c r="AR85" s="31">
        <v>177.56267576691914</v>
      </c>
      <c r="AS85" s="31">
        <v>130.04043768952005</v>
      </c>
      <c r="AT85" s="31">
        <v>321.11871673061256</v>
      </c>
      <c r="AU85" s="31">
        <v>19.90459929236772</v>
      </c>
      <c r="AV85" s="31">
        <v>42.583533205962681</v>
      </c>
      <c r="AW85" s="31">
        <v>15.974807518264363</v>
      </c>
      <c r="AX85" s="31">
        <v>18.294006939743898</v>
      </c>
      <c r="AY85" s="31">
        <v>72.128082743395282</v>
      </c>
      <c r="AZ85" s="31">
        <v>94.927182878468784</v>
      </c>
      <c r="BA85" s="31">
        <v>4.071310622909121E-2</v>
      </c>
      <c r="BB85" s="31">
        <v>21.065633017213663</v>
      </c>
      <c r="BC85" s="31">
        <v>104.13096326118753</v>
      </c>
      <c r="BD85" s="31">
        <v>282.98094326773418</v>
      </c>
      <c r="BE85" s="31"/>
      <c r="BF85" s="31">
        <v>210.91068089526865</v>
      </c>
      <c r="BG85" s="31">
        <v>101.60212060493031</v>
      </c>
      <c r="BH85" s="31">
        <v>41.022433254061582</v>
      </c>
      <c r="BI85" s="31">
        <v>155.31282778277915</v>
      </c>
      <c r="BJ85" s="31">
        <v>242.74621573043876</v>
      </c>
      <c r="BK85" s="31">
        <v>309.80255915120779</v>
      </c>
      <c r="BL85" s="31">
        <v>477.07593577507987</v>
      </c>
      <c r="BM85" s="31">
        <v>5.9596010220033302E-2</v>
      </c>
      <c r="BN85" s="31">
        <v>44.974817398785895</v>
      </c>
      <c r="BO85" s="31">
        <v>13.404321188081095</v>
      </c>
      <c r="BP85" s="32">
        <v>5.8586709746776302</v>
      </c>
      <c r="BQ85" s="31">
        <v>916.38668035770968</v>
      </c>
      <c r="BR85" s="31">
        <v>1426.0033068231144</v>
      </c>
      <c r="BS85" s="31">
        <v>118.42302811381946</v>
      </c>
      <c r="BT85" s="31">
        <v>58.548349374101065</v>
      </c>
      <c r="BU85" s="31">
        <v>1199.5071074026182</v>
      </c>
      <c r="BV85" s="31">
        <v>306.65610039373541</v>
      </c>
      <c r="BW85" s="31">
        <v>774.5093482019779</v>
      </c>
      <c r="BX85" s="31">
        <v>168.03077858464633</v>
      </c>
      <c r="BY85" s="31">
        <v>92.17762981110765</v>
      </c>
      <c r="BZ85" s="31">
        <v>75.531358757803815</v>
      </c>
      <c r="CA85" s="31">
        <v>326.02583119454283</v>
      </c>
      <c r="CB85" s="31">
        <v>142.51083729911457</v>
      </c>
      <c r="CC85" s="31">
        <v>475.32629037522446</v>
      </c>
      <c r="CD85" s="31">
        <v>3.0809110962581303</v>
      </c>
      <c r="CE85" s="31">
        <v>291.06325293345731</v>
      </c>
      <c r="CF85" s="31">
        <v>47.432043503323015</v>
      </c>
      <c r="CG85" s="32">
        <v>31.795449287152966</v>
      </c>
    </row>
    <row r="86" spans="1:182" x14ac:dyDescent="0.3">
      <c r="A86" s="30" t="s">
        <v>148</v>
      </c>
      <c r="B86" s="31">
        <v>2.4616072278133335E-2</v>
      </c>
      <c r="C86" s="31">
        <v>1.2096518603505689E-2</v>
      </c>
      <c r="D86" s="31">
        <v>2.3067775492898513E-3</v>
      </c>
      <c r="E86" s="31">
        <v>3.3004676735392353E-3</v>
      </c>
      <c r="F86" s="31">
        <v>1.6466650630113193E-3</v>
      </c>
      <c r="G86" s="31">
        <v>2.1714004224913383E-3</v>
      </c>
      <c r="H86" s="31">
        <v>1.1215626325111066E-2</v>
      </c>
      <c r="I86" s="31">
        <v>8.8547029908810342E-3</v>
      </c>
      <c r="J86" s="31">
        <v>3.0530592517207813E-4</v>
      </c>
      <c r="K86" s="31">
        <v>1.0912379362391198E-2</v>
      </c>
      <c r="L86" s="31">
        <v>7.649911602027196E-3</v>
      </c>
      <c r="M86" s="31">
        <v>7.4183317098975351E-3</v>
      </c>
      <c r="N86" s="31">
        <v>3.1864963423649988E-3</v>
      </c>
      <c r="O86" s="31">
        <v>4.7392825755057542E-3</v>
      </c>
      <c r="P86" s="31">
        <v>3.0811142371822229E-3</v>
      </c>
      <c r="Q86" s="31">
        <v>5.036219470102481E-4</v>
      </c>
      <c r="R86" s="31">
        <v>1.5971848841444921E-2</v>
      </c>
      <c r="S86" s="31">
        <v>1.1642107473803774E-2</v>
      </c>
      <c r="T86" s="31">
        <v>1.7730865469221473E-2</v>
      </c>
      <c r="U86" s="31">
        <v>1.0913789963985248E-2</v>
      </c>
      <c r="V86" s="31">
        <v>8.5075069183294001E-3</v>
      </c>
      <c r="W86" s="31">
        <v>1.4518731167341109E-3</v>
      </c>
      <c r="X86" s="31">
        <v>1.991582696554571E-3</v>
      </c>
      <c r="Y86" s="31">
        <v>9.112794983797643E-4</v>
      </c>
      <c r="Z86" s="31">
        <v>8.200872639607162E-3</v>
      </c>
      <c r="AA86" s="31">
        <v>6.1941164038922239E-3</v>
      </c>
      <c r="AB86" s="31">
        <v>2.6866152635650235E-2</v>
      </c>
      <c r="AC86" s="31">
        <v>4.2643937254103126E-3</v>
      </c>
      <c r="AD86" s="31">
        <v>1.7108078869224465E-3</v>
      </c>
      <c r="AE86" s="31">
        <v>8.8381971510304407E-3</v>
      </c>
      <c r="AF86" s="31">
        <v>1.9652987757010679E-3</v>
      </c>
      <c r="AG86" s="31">
        <v>3.5806627202792304E-3</v>
      </c>
      <c r="AH86" s="31">
        <v>4.1692363716156087E-3</v>
      </c>
      <c r="AI86" s="32"/>
      <c r="AJ86" s="31"/>
      <c r="AK86" s="31">
        <v>9.0080772011314932E-3</v>
      </c>
      <c r="AL86" s="31">
        <v>1.1766964117646831E-2</v>
      </c>
      <c r="AM86" s="31">
        <v>3.3915477787290894E-3</v>
      </c>
      <c r="AN86" s="31">
        <v>7.7168406539832653E-4</v>
      </c>
      <c r="AO86" s="31">
        <v>2.2696360867592497E-3</v>
      </c>
      <c r="AP86" s="31">
        <v>8.6235283108979342E-3</v>
      </c>
      <c r="AQ86" s="31">
        <v>2.4013548600914677E-3</v>
      </c>
      <c r="AR86" s="31">
        <v>7.1076997969202055E-3</v>
      </c>
      <c r="AS86" s="31">
        <v>1.1810047068730591E-2</v>
      </c>
      <c r="AT86" s="31">
        <v>1.1106558821378577E-2</v>
      </c>
      <c r="AU86" s="31">
        <v>1.7803729942410818E-4</v>
      </c>
      <c r="AV86" s="31">
        <v>1.2778155800007799E-3</v>
      </c>
      <c r="AW86" s="31">
        <v>2.4902883107952981E-3</v>
      </c>
      <c r="AX86" s="31">
        <v>6.4872415985649473E-4</v>
      </c>
      <c r="AY86" s="31">
        <v>2.2071810026185912E-2</v>
      </c>
      <c r="AZ86" s="31">
        <v>1.1592804020409084E-2</v>
      </c>
      <c r="BA86" s="31">
        <v>9.5849155752712745E-4</v>
      </c>
      <c r="BB86" s="31">
        <v>1.1583266237016456E-3</v>
      </c>
      <c r="BC86" s="31">
        <v>4.1700598232888983E-3</v>
      </c>
      <c r="BD86" s="31">
        <v>1.2748931585190765E-2</v>
      </c>
      <c r="BE86" s="31"/>
      <c r="BF86" s="31">
        <v>2.7196309780904981E-3</v>
      </c>
      <c r="BG86" s="31">
        <v>6.2495814447670274E-4</v>
      </c>
      <c r="BH86" s="31">
        <v>1.8427412521672454E-3</v>
      </c>
      <c r="BI86" s="31">
        <v>1.1486309123270876E-2</v>
      </c>
      <c r="BJ86" s="31">
        <v>5.895227023433753E-2</v>
      </c>
      <c r="BK86" s="31">
        <v>7.562989327418234E-3</v>
      </c>
      <c r="BL86" s="31">
        <v>6.3832305820114444E-3</v>
      </c>
      <c r="BM86" s="31">
        <v>3.2771770174173427E-4</v>
      </c>
      <c r="BN86" s="31">
        <v>5.3074732496074875E-3</v>
      </c>
      <c r="BO86" s="31">
        <v>2.0222666689687771E-3</v>
      </c>
      <c r="BP86" s="32">
        <v>1.4723960317635777E-2</v>
      </c>
      <c r="BQ86" s="31">
        <v>8.2259161261796318E-2</v>
      </c>
      <c r="BR86" s="31">
        <v>5.5737482077507977E-2</v>
      </c>
      <c r="BS86" s="31">
        <v>7.493686518895165E-3</v>
      </c>
      <c r="BT86" s="31">
        <v>6.8092162186002281E-3</v>
      </c>
      <c r="BU86" s="31">
        <v>1.0660115673424052E-2</v>
      </c>
      <c r="BV86" s="31">
        <v>4.6948678569112431E-2</v>
      </c>
      <c r="BW86" s="31">
        <v>8.3174162219056477E-2</v>
      </c>
      <c r="BX86" s="31">
        <v>9.3482853913135298E-3</v>
      </c>
      <c r="BY86" s="31">
        <v>1.3669574822308501E-2</v>
      </c>
      <c r="BZ86" s="31">
        <v>1.5048754195810485E-2</v>
      </c>
      <c r="CA86" s="31">
        <v>2.2504527888131915E-2</v>
      </c>
      <c r="CB86" s="31">
        <v>7.2795698420828631E-3</v>
      </c>
      <c r="CC86" s="31">
        <v>3.3899608514348104E-2</v>
      </c>
      <c r="CD86" s="31">
        <v>3.2979303035561472E-2</v>
      </c>
      <c r="CE86" s="31">
        <v>4.1040482639553129E-2</v>
      </c>
      <c r="CF86" s="31">
        <v>4.6198395222955919E-3</v>
      </c>
      <c r="CG86" s="32">
        <v>1.5377132759950098E-2</v>
      </c>
    </row>
    <row r="87" spans="1:182" x14ac:dyDescent="0.3">
      <c r="A87" s="30" t="s">
        <v>149</v>
      </c>
      <c r="B87" s="31" t="s">
        <v>136</v>
      </c>
      <c r="C87" s="31">
        <v>5.2181982367236913E-3</v>
      </c>
      <c r="D87" s="31">
        <v>3.0209683654297157E-3</v>
      </c>
      <c r="E87" s="31">
        <v>1.0269821068094615E-3</v>
      </c>
      <c r="F87" s="31">
        <v>7.9155595788721268E-4</v>
      </c>
      <c r="G87" s="31">
        <v>2.9151325480719003E-3</v>
      </c>
      <c r="H87" s="31" t="s">
        <v>136</v>
      </c>
      <c r="I87" s="31">
        <v>7.821928309242103E-3</v>
      </c>
      <c r="J87" s="31" t="s">
        <v>136</v>
      </c>
      <c r="K87" s="31">
        <v>1.0458752278593884E-2</v>
      </c>
      <c r="L87" s="31">
        <v>2.908007327572426E-3</v>
      </c>
      <c r="M87" s="31">
        <v>3.7488825329636058E-3</v>
      </c>
      <c r="N87" s="31">
        <v>1.7297375989261013E-3</v>
      </c>
      <c r="O87" s="31">
        <v>2.050784823882516E-3</v>
      </c>
      <c r="P87" s="31">
        <v>4.5842072741573796E-4</v>
      </c>
      <c r="Q87" s="31">
        <v>2.7485650406339148E-4</v>
      </c>
      <c r="R87" s="31">
        <v>3.5438649043050531E-2</v>
      </c>
      <c r="S87" s="31">
        <v>4.0902278743230169E-3</v>
      </c>
      <c r="T87" s="31">
        <v>1.1796364300582283E-2</v>
      </c>
      <c r="U87" s="31">
        <v>8.9446803850804363E-3</v>
      </c>
      <c r="V87" s="31">
        <v>3.8121021685103124E-3</v>
      </c>
      <c r="W87" s="31">
        <v>2.5553257614696504E-4</v>
      </c>
      <c r="X87" s="31" t="s">
        <v>136</v>
      </c>
      <c r="Y87" s="31">
        <v>5.1529934833828453E-4</v>
      </c>
      <c r="Z87" s="31">
        <v>8.0034102099786827E-3</v>
      </c>
      <c r="AA87" s="31">
        <v>3.6379539115152138E-3</v>
      </c>
      <c r="AB87" s="31">
        <v>2.0439417708507799E-2</v>
      </c>
      <c r="AC87" s="31">
        <v>2.2068426261908219E-2</v>
      </c>
      <c r="AD87" s="31">
        <v>4.327050370453658E-3</v>
      </c>
      <c r="AE87" s="31">
        <v>1.5456529950594992E-2</v>
      </c>
      <c r="AF87" s="31">
        <v>2.6725579851704252E-4</v>
      </c>
      <c r="AG87" s="31">
        <v>1.2069549259475698E-3</v>
      </c>
      <c r="AH87" s="31" t="s">
        <v>136</v>
      </c>
      <c r="AI87" s="32"/>
      <c r="AJ87" s="31"/>
      <c r="AK87" s="31">
        <v>6.9792191412493872E-3</v>
      </c>
      <c r="AL87" s="31">
        <v>1.1823394967113987E-2</v>
      </c>
      <c r="AM87" s="31">
        <v>4.2593408400768019E-3</v>
      </c>
      <c r="AN87" s="31">
        <v>5.2232766840832028E-4</v>
      </c>
      <c r="AO87" s="31">
        <v>1.1621024909639422E-3</v>
      </c>
      <c r="AP87" s="31">
        <v>3.523101917261916E-3</v>
      </c>
      <c r="AQ87" s="31">
        <v>1.638744525819747E-3</v>
      </c>
      <c r="AR87" s="31">
        <v>5.1051886458513889E-3</v>
      </c>
      <c r="AS87" s="31">
        <v>1.6615375774962533E-2</v>
      </c>
      <c r="AT87" s="31">
        <v>9.3525453502479386E-3</v>
      </c>
      <c r="AU87" s="31">
        <v>1.6578507071687425E-4</v>
      </c>
      <c r="AV87" s="31">
        <v>6.4146728450985215E-4</v>
      </c>
      <c r="AW87" s="31">
        <v>1.3735883155539014E-3</v>
      </c>
      <c r="AX87" s="31">
        <v>4.7951227683842759E-4</v>
      </c>
      <c r="AY87" s="31">
        <v>1.5434098791175396E-2</v>
      </c>
      <c r="AZ87" s="31">
        <v>5.8702284643505614E-3</v>
      </c>
      <c r="BA87" s="31">
        <v>8.9086848321636022E-4</v>
      </c>
      <c r="BB87" s="31">
        <v>5.4420059211892648E-4</v>
      </c>
      <c r="BC87" s="31">
        <v>2.069276856617429E-3</v>
      </c>
      <c r="BD87" s="31">
        <v>1.4726675274133903E-2</v>
      </c>
      <c r="BE87" s="31"/>
      <c r="BF87" s="31">
        <v>7.3670649251882992E-4</v>
      </c>
      <c r="BG87" s="31">
        <v>3.190137164026233E-4</v>
      </c>
      <c r="BH87" s="31">
        <v>1.6659422117565696E-3</v>
      </c>
      <c r="BI87" s="31">
        <v>2.9463581625555823E-3</v>
      </c>
      <c r="BJ87" s="31">
        <v>1.597944310432494E-2</v>
      </c>
      <c r="BK87" s="31">
        <v>1.7176503529958718E-2</v>
      </c>
      <c r="BL87" s="31">
        <v>9.2246508302454618E-3</v>
      </c>
      <c r="BM87" s="31" t="s">
        <v>136</v>
      </c>
      <c r="BN87" s="31">
        <v>3.4582354680478453E-3</v>
      </c>
      <c r="BO87" s="31">
        <v>1.8676086141151543E-3</v>
      </c>
      <c r="BP87" s="32">
        <v>8.405179772483045E-3</v>
      </c>
      <c r="BQ87" s="31">
        <v>4.635935173276954E-2</v>
      </c>
      <c r="BR87" s="31">
        <v>4.7942792434724608E-2</v>
      </c>
      <c r="BS87" s="31">
        <v>6.7025208125864634E-3</v>
      </c>
      <c r="BT87" s="31">
        <v>3.4315857669903731E-3</v>
      </c>
      <c r="BU87" s="31">
        <v>5.974405413178039E-3</v>
      </c>
      <c r="BV87" s="31">
        <v>2.5875388360788117E-2</v>
      </c>
      <c r="BW87" s="31">
        <v>4.0201405074347864E-2</v>
      </c>
      <c r="BX87" s="31">
        <v>2.2794422736473288E-3</v>
      </c>
      <c r="BY87" s="31">
        <v>4.5328419937421182E-3</v>
      </c>
      <c r="BZ87" s="31">
        <v>1.4937515068696498E-2</v>
      </c>
      <c r="CA87" s="31">
        <v>1.9837666673691808E-2</v>
      </c>
      <c r="CB87" s="31">
        <v>5.6041812530573318E-3</v>
      </c>
      <c r="CC87" s="31">
        <v>5.8541308122681745E-3</v>
      </c>
      <c r="CD87" s="31">
        <v>3.4548002402045287E-2</v>
      </c>
      <c r="CE87" s="31">
        <v>4.5630817214774286E-2</v>
      </c>
      <c r="CF87" s="31">
        <v>3.1424608224780866E-3</v>
      </c>
      <c r="CG87" s="32">
        <v>1.4900228949661507E-2</v>
      </c>
    </row>
    <row r="88" spans="1:182" x14ac:dyDescent="0.3">
      <c r="A88" s="30" t="s">
        <v>150</v>
      </c>
      <c r="B88" s="31">
        <v>27.987823636033045</v>
      </c>
      <c r="C88" s="31">
        <v>4.2726781667128435</v>
      </c>
      <c r="D88" s="31">
        <v>4.8886115572310258</v>
      </c>
      <c r="E88" s="31">
        <v>1.1723034262430407</v>
      </c>
      <c r="F88" s="31">
        <v>1.936803217596146</v>
      </c>
      <c r="G88" s="31">
        <v>3.1984557991068669</v>
      </c>
      <c r="H88" s="31">
        <v>7.4781350521420142</v>
      </c>
      <c r="I88" s="31">
        <v>11.738599285153297</v>
      </c>
      <c r="J88" s="31">
        <v>2.4937862915694283E-3</v>
      </c>
      <c r="K88" s="31">
        <v>4.7122230615894649</v>
      </c>
      <c r="L88" s="31">
        <v>0.99738357281338852</v>
      </c>
      <c r="M88" s="31">
        <v>1.4482298440121826</v>
      </c>
      <c r="N88" s="31">
        <v>0.48018325511827298</v>
      </c>
      <c r="O88" s="31">
        <v>0.76614010832290169</v>
      </c>
      <c r="P88" s="31">
        <v>0.4399056562230434</v>
      </c>
      <c r="Q88" s="31">
        <v>5.3829543279062114E-3</v>
      </c>
      <c r="R88" s="31">
        <v>7.891863791950243</v>
      </c>
      <c r="S88" s="31">
        <v>1.4665425546030753</v>
      </c>
      <c r="T88" s="31">
        <v>8.2195921738214377</v>
      </c>
      <c r="U88" s="31">
        <v>7.8057336871486864</v>
      </c>
      <c r="V88" s="31">
        <v>1.3132571417075098</v>
      </c>
      <c r="W88" s="31">
        <v>4.1227338911603821</v>
      </c>
      <c r="X88" s="31">
        <v>0.26839009672380831</v>
      </c>
      <c r="Y88" s="31">
        <v>0.10316347102441463</v>
      </c>
      <c r="Z88" s="31">
        <v>6.6460051379097154</v>
      </c>
      <c r="AA88" s="31">
        <v>4.2508608590048711</v>
      </c>
      <c r="AB88" s="31">
        <v>4.6381820708743717</v>
      </c>
      <c r="AC88" s="31">
        <v>3.2181591914200824</v>
      </c>
      <c r="AD88" s="31">
        <v>5.0563220513171236</v>
      </c>
      <c r="AE88" s="31">
        <v>12.554325949517747</v>
      </c>
      <c r="AF88" s="31">
        <v>0.18056302233391022</v>
      </c>
      <c r="AG88" s="31">
        <v>0.77870413259007421</v>
      </c>
      <c r="AH88" s="31">
        <v>1.5962367896196523</v>
      </c>
      <c r="AI88" s="32"/>
      <c r="AJ88" s="31"/>
      <c r="AK88" s="31">
        <v>1.2142025067153499</v>
      </c>
      <c r="AL88" s="31">
        <v>5.9972708310877003</v>
      </c>
      <c r="AM88" s="31">
        <v>0.18808884660756728</v>
      </c>
      <c r="AN88" s="31">
        <v>0.336486233478001</v>
      </c>
      <c r="AO88" s="31">
        <v>0.68461683777342186</v>
      </c>
      <c r="AP88" s="31">
        <v>3.8593553229780673</v>
      </c>
      <c r="AQ88" s="31">
        <v>9.5732300789989649E-2</v>
      </c>
      <c r="AR88" s="31">
        <v>2.1759333974091528</v>
      </c>
      <c r="AS88" s="31">
        <v>9.4854685784165653</v>
      </c>
      <c r="AT88" s="31">
        <v>5.1588118756922379</v>
      </c>
      <c r="AU88" s="31">
        <v>4.298299270352119E-2</v>
      </c>
      <c r="AV88" s="31">
        <v>3.2534130953234076E-2</v>
      </c>
      <c r="AW88" s="31">
        <v>0.20319926797461146</v>
      </c>
      <c r="AX88" s="31">
        <v>2.0968805303258087</v>
      </c>
      <c r="AY88" s="31">
        <v>3.3784356415765964</v>
      </c>
      <c r="AZ88" s="31">
        <v>2.1704224684723568</v>
      </c>
      <c r="BA88" s="31">
        <v>7.6209127909133111E-3</v>
      </c>
      <c r="BB88" s="31">
        <v>4.4072155606072652E-2</v>
      </c>
      <c r="BC88" s="31">
        <v>0.7851070761775919</v>
      </c>
      <c r="BD88" s="31">
        <v>5.411600059631791</v>
      </c>
      <c r="BE88" s="31"/>
      <c r="BF88" s="31">
        <v>0.28272438385506232</v>
      </c>
      <c r="BG88" s="31">
        <v>0.31835255879332724</v>
      </c>
      <c r="BH88" s="31">
        <v>0.19783535238946545</v>
      </c>
      <c r="BI88" s="31">
        <v>11.350213707584935</v>
      </c>
      <c r="BJ88" s="31">
        <v>21.969862176945934</v>
      </c>
      <c r="BK88" s="31">
        <v>54.092048567116734</v>
      </c>
      <c r="BL88" s="31">
        <v>14.563719943474352</v>
      </c>
      <c r="BM88" s="31">
        <v>5.6480305225097343E-3</v>
      </c>
      <c r="BN88" s="31">
        <v>0.50159680078915303</v>
      </c>
      <c r="BO88" s="31">
        <v>0.37591004728031635</v>
      </c>
      <c r="BP88" s="32">
        <v>2.8680785417455675E-2</v>
      </c>
      <c r="BQ88" s="31">
        <v>1.5581438433447303</v>
      </c>
      <c r="BR88" s="31">
        <v>3.0869716201946642</v>
      </c>
      <c r="BS88" s="31">
        <v>0.1642166171756555</v>
      </c>
      <c r="BT88" s="31">
        <v>0.39160786611375875</v>
      </c>
      <c r="BU88" s="31">
        <v>3.656286345590241</v>
      </c>
      <c r="BV88" s="31">
        <v>1.7897496294604209</v>
      </c>
      <c r="BW88" s="31">
        <v>2.2906919176805305</v>
      </c>
      <c r="BX88" s="31">
        <v>2.0270860429219542</v>
      </c>
      <c r="BY88" s="31">
        <v>2.1864314790848121</v>
      </c>
      <c r="BZ88" s="31">
        <v>0.32455242457462014</v>
      </c>
      <c r="CA88" s="31">
        <v>0.84075486560592161</v>
      </c>
      <c r="CB88" s="31">
        <v>1.6675426775986222</v>
      </c>
      <c r="CC88" s="31">
        <v>1.4379386832575991</v>
      </c>
      <c r="CD88" s="31">
        <v>6.713861321301097E-2</v>
      </c>
      <c r="CE88" s="31">
        <v>0.48382379978561058</v>
      </c>
      <c r="CF88" s="31">
        <v>0.398238940050408</v>
      </c>
      <c r="CG88" s="32">
        <v>9.2081040244201107E-2</v>
      </c>
    </row>
    <row r="89" spans="1:182" x14ac:dyDescent="0.3">
      <c r="A89" s="30" t="s">
        <v>151</v>
      </c>
      <c r="B89" s="31">
        <v>14.303523034483073</v>
      </c>
      <c r="C89" s="31">
        <v>3.4615950905373856</v>
      </c>
      <c r="D89" s="31">
        <v>2.1539598194879113</v>
      </c>
      <c r="E89" s="31">
        <v>0.63636718143484206</v>
      </c>
      <c r="F89" s="31">
        <v>6.7218455529196794E-2</v>
      </c>
      <c r="G89" s="31">
        <v>1.6485472580283638</v>
      </c>
      <c r="H89" s="31">
        <v>0.6397519550786388</v>
      </c>
      <c r="I89" s="31">
        <v>3.3941004995736712</v>
      </c>
      <c r="J89" s="31">
        <v>1.2893177231413424E-2</v>
      </c>
      <c r="K89" s="31">
        <v>5.2055949934408767</v>
      </c>
      <c r="L89" s="31">
        <v>2.8014082691572835</v>
      </c>
      <c r="M89" s="31">
        <v>1.2047346335368621</v>
      </c>
      <c r="N89" s="31">
        <v>0.59617873932511578</v>
      </c>
      <c r="O89" s="31">
        <v>2.6994653660932086</v>
      </c>
      <c r="P89" s="31">
        <v>0.12647366330053733</v>
      </c>
      <c r="Q89" s="31">
        <v>6.9202125052271718E-4</v>
      </c>
      <c r="R89" s="31">
        <v>8.6263395316803777</v>
      </c>
      <c r="S89" s="31">
        <v>4.0577479828623453</v>
      </c>
      <c r="T89" s="31">
        <v>3.2753455390924824</v>
      </c>
      <c r="U89" s="31">
        <v>5.3065686115249653</v>
      </c>
      <c r="V89" s="31">
        <v>6.4011990694771521</v>
      </c>
      <c r="W89" s="31">
        <v>7.0436891983119407E-2</v>
      </c>
      <c r="X89" s="31">
        <v>5.3529878623639934E-2</v>
      </c>
      <c r="Y89" s="31">
        <v>0.21811931301554144</v>
      </c>
      <c r="Z89" s="31">
        <v>5.5155655106821211</v>
      </c>
      <c r="AA89" s="31">
        <v>1.2943562800826172</v>
      </c>
      <c r="AB89" s="31">
        <v>20.194082845440079</v>
      </c>
      <c r="AC89" s="31">
        <v>3.6988675396433486</v>
      </c>
      <c r="AD89" s="31">
        <v>1.1239119115263116</v>
      </c>
      <c r="AE89" s="31">
        <v>7.4576224035544145</v>
      </c>
      <c r="AF89" s="31">
        <v>4.8991116217209793E-2</v>
      </c>
      <c r="AG89" s="31">
        <v>0.68978257422275724</v>
      </c>
      <c r="AH89" s="31">
        <v>0.30109270165185797</v>
      </c>
      <c r="AI89" s="32"/>
      <c r="AJ89" s="31"/>
      <c r="AK89" s="31">
        <v>3.5342033874240397</v>
      </c>
      <c r="AL89" s="31">
        <v>4.6369806257194979</v>
      </c>
      <c r="AM89" s="31">
        <v>0.30257146608586477</v>
      </c>
      <c r="AN89" s="31">
        <v>0.27350594461075106</v>
      </c>
      <c r="AO89" s="31">
        <v>0.55940111855650121</v>
      </c>
      <c r="AP89" s="31">
        <v>2.2943879299711831</v>
      </c>
      <c r="AQ89" s="31">
        <v>0.52037742866575387</v>
      </c>
      <c r="AR89" s="31">
        <v>3.1001285804978687</v>
      </c>
      <c r="AS89" s="31">
        <v>3.6823260302159642</v>
      </c>
      <c r="AT89" s="31">
        <v>3.2758259569405022</v>
      </c>
      <c r="AU89" s="31">
        <v>1.3882561836174577E-2</v>
      </c>
      <c r="AV89" s="31">
        <v>0.30536849487641815</v>
      </c>
      <c r="AW89" s="31">
        <v>0.39017105479439079</v>
      </c>
      <c r="AX89" s="31">
        <v>0.2406753286228395</v>
      </c>
      <c r="AY89" s="31">
        <v>12.116496629540423</v>
      </c>
      <c r="AZ89" s="31">
        <v>4.8629361721700697</v>
      </c>
      <c r="BA89" s="31">
        <v>0.11508843803235824</v>
      </c>
      <c r="BB89" s="31">
        <v>0.16943343769734315</v>
      </c>
      <c r="BC89" s="31">
        <v>0.66395006616366969</v>
      </c>
      <c r="BD89" s="31">
        <v>12.849569249448871</v>
      </c>
      <c r="BE89" s="31"/>
      <c r="BF89" s="31">
        <v>1.3927540845252277E-2</v>
      </c>
      <c r="BG89" s="31">
        <v>9.5143778890940042E-2</v>
      </c>
      <c r="BH89" s="31">
        <v>0.36468209996116685</v>
      </c>
      <c r="BI89" s="31">
        <v>6.4937372408844869</v>
      </c>
      <c r="BJ89" s="31">
        <v>40.403323669406475</v>
      </c>
      <c r="BK89" s="31">
        <v>7.6670067150663002</v>
      </c>
      <c r="BL89" s="31">
        <v>3.6903915772290135</v>
      </c>
      <c r="BM89" s="31">
        <v>4.3929941117190119E-2</v>
      </c>
      <c r="BN89" s="31">
        <v>4.0922585136460681</v>
      </c>
      <c r="BO89" s="31">
        <v>0.33571269399751469</v>
      </c>
      <c r="BP89" s="32">
        <v>3.8257756050645804</v>
      </c>
      <c r="BQ89" s="31">
        <v>13.6916635201876</v>
      </c>
      <c r="BR89" s="31">
        <v>6.406186485883949</v>
      </c>
      <c r="BS89" s="31">
        <v>0.82656638707468555</v>
      </c>
      <c r="BT89" s="31">
        <v>0.91763921313118912</v>
      </c>
      <c r="BU89" s="31">
        <v>1.2585541150006958</v>
      </c>
      <c r="BV89" s="31">
        <v>6.4364671555200088</v>
      </c>
      <c r="BW89" s="31">
        <v>32.904425404508721</v>
      </c>
      <c r="BX89" s="31">
        <v>21.991397012386745</v>
      </c>
      <c r="BY89" s="31">
        <v>3.8633683685550602</v>
      </c>
      <c r="BZ89" s="31">
        <v>0.73917753156445187</v>
      </c>
      <c r="CA89" s="31">
        <v>4.4483255314651489</v>
      </c>
      <c r="CB89" s="31">
        <v>1.4219194207802666</v>
      </c>
      <c r="CC89" s="31">
        <v>11.542921580939353</v>
      </c>
      <c r="CD89" s="31">
        <v>0.84267885984267465</v>
      </c>
      <c r="CE89" s="31">
        <v>10.02843107360246</v>
      </c>
      <c r="CF89" s="31">
        <v>0.51162756414265287</v>
      </c>
      <c r="CG89" s="32">
        <v>2.2489728919105647</v>
      </c>
    </row>
    <row r="90" spans="1:182" x14ac:dyDescent="0.3">
      <c r="A90" s="30" t="s">
        <v>152</v>
      </c>
      <c r="B90" s="31">
        <v>2.8443760628228475E-2</v>
      </c>
      <c r="C90" s="31">
        <v>1.4279079528439131E-2</v>
      </c>
      <c r="D90" s="31">
        <v>1.6853851627049509E-2</v>
      </c>
      <c r="E90" s="31">
        <v>1.4579831535587349E-3</v>
      </c>
      <c r="F90" s="31">
        <v>1.1758668969774521E-2</v>
      </c>
      <c r="G90" s="31">
        <v>1.2418746739617705E-2</v>
      </c>
      <c r="H90" s="31" t="s">
        <v>136</v>
      </c>
      <c r="I90" s="31">
        <v>4.8777364279773569E-2</v>
      </c>
      <c r="J90" s="31" t="s">
        <v>136</v>
      </c>
      <c r="K90" s="31">
        <v>3.331842912560419E-2</v>
      </c>
      <c r="L90" s="31">
        <v>1.0426866753381506E-2</v>
      </c>
      <c r="M90" s="31">
        <v>1.225405377547892E-2</v>
      </c>
      <c r="N90" s="31">
        <v>5.8931366133722941E-3</v>
      </c>
      <c r="O90" s="31">
        <v>6.1447411774848649E-3</v>
      </c>
      <c r="P90" s="31">
        <v>1.5734817261380384E-2</v>
      </c>
      <c r="Q90" s="31">
        <v>2.7583445826022445E-4</v>
      </c>
      <c r="R90" s="31">
        <v>0.15886479236677853</v>
      </c>
      <c r="S90" s="31">
        <v>8.3802912224071689E-3</v>
      </c>
      <c r="T90" s="31">
        <v>1.7087524551779924E-2</v>
      </c>
      <c r="U90" s="31">
        <v>3.9404470963336789E-2</v>
      </c>
      <c r="V90" s="31">
        <v>1.3894244748552222E-2</v>
      </c>
      <c r="W90" s="31">
        <v>1.7481004519788863E-2</v>
      </c>
      <c r="X90" s="31">
        <v>5.4244572437670245E-3</v>
      </c>
      <c r="Y90" s="31">
        <v>2.7892049552823614E-3</v>
      </c>
      <c r="Z90" s="31">
        <v>2.5808422454809507E-2</v>
      </c>
      <c r="AA90" s="31">
        <v>4.6670787195668964E-3</v>
      </c>
      <c r="AB90" s="31">
        <v>4.3906805440810402E-2</v>
      </c>
      <c r="AC90" s="31">
        <v>6.5783162973900453E-2</v>
      </c>
      <c r="AD90" s="31">
        <v>5.5796340005306838E-2</v>
      </c>
      <c r="AE90" s="31">
        <v>8.9232142583418841E-2</v>
      </c>
      <c r="AF90" s="31">
        <v>2.8149999475327232E-3</v>
      </c>
      <c r="AG90" s="31">
        <v>1.4251829222962935E-2</v>
      </c>
      <c r="AH90" s="31" t="s">
        <v>136</v>
      </c>
      <c r="AI90" s="32"/>
      <c r="AJ90" s="31"/>
      <c r="AK90" s="31">
        <v>1.1796076608646337E-2</v>
      </c>
      <c r="AL90" s="31">
        <v>0.13607197232239479</v>
      </c>
      <c r="AM90" s="31">
        <v>4.3355180447945101E-3</v>
      </c>
      <c r="AN90" s="31">
        <v>4.9088748184648008E-3</v>
      </c>
      <c r="AO90" s="31">
        <v>3.42466520445951E-3</v>
      </c>
      <c r="AP90" s="31">
        <v>1.6117648697267103E-2</v>
      </c>
      <c r="AQ90" s="31">
        <v>1.9624128279480207E-3</v>
      </c>
      <c r="AR90" s="31">
        <v>1.7621334405841304E-2</v>
      </c>
      <c r="AS90" s="31">
        <v>9.1946217259864488E-2</v>
      </c>
      <c r="AT90" s="31">
        <v>2.736301444859705E-2</v>
      </c>
      <c r="AU90" s="31" t="s">
        <v>136</v>
      </c>
      <c r="AV90" s="31">
        <v>1.3296554290939356E-3</v>
      </c>
      <c r="AW90" s="31">
        <v>2.6014230790472981E-3</v>
      </c>
      <c r="AX90" s="31">
        <v>6.0810158390512152E-3</v>
      </c>
      <c r="AY90" s="31">
        <v>0.11075744450381404</v>
      </c>
      <c r="AZ90" s="31">
        <v>2.7578514510845809E-2</v>
      </c>
      <c r="BA90" s="31">
        <v>6.829161908229051E-4</v>
      </c>
      <c r="BB90" s="31">
        <v>5.3241343919426748E-3</v>
      </c>
      <c r="BC90" s="31">
        <v>6.7289792447054533E-3</v>
      </c>
      <c r="BD90" s="31">
        <v>4.8895201563755195E-2</v>
      </c>
      <c r="BE90" s="31"/>
      <c r="BF90" s="31">
        <v>1.2464158871733789E-2</v>
      </c>
      <c r="BG90" s="31">
        <v>3.8988155735878525E-3</v>
      </c>
      <c r="BH90" s="31">
        <v>2.2601999580411252E-3</v>
      </c>
      <c r="BI90" s="31">
        <v>2.0285492908503285E-2</v>
      </c>
      <c r="BJ90" s="31">
        <v>7.2557345278748075E-2</v>
      </c>
      <c r="BK90" s="31">
        <v>0.56117035151789374</v>
      </c>
      <c r="BL90" s="31">
        <v>4.1602240485710422E-2</v>
      </c>
      <c r="BM90" s="31" t="s">
        <v>136</v>
      </c>
      <c r="BN90" s="31">
        <v>9.0056697308774584E-3</v>
      </c>
      <c r="BO90" s="31">
        <v>5.9667590119726142E-3</v>
      </c>
      <c r="BP90" s="32">
        <v>2.0938180229959059E-3</v>
      </c>
      <c r="BQ90" s="31">
        <v>8.8272451515941791E-2</v>
      </c>
      <c r="BR90" s="31">
        <v>7.5506657763152338E-2</v>
      </c>
      <c r="BS90" s="31">
        <v>8.6058688192362578E-3</v>
      </c>
      <c r="BT90" s="31">
        <v>5.4775650722287197E-3</v>
      </c>
      <c r="BU90" s="31">
        <v>5.2625869348773349E-2</v>
      </c>
      <c r="BV90" s="31">
        <v>5.6751657978890459E-2</v>
      </c>
      <c r="BW90" s="31">
        <v>8.0433959526413829E-2</v>
      </c>
      <c r="BX90" s="31">
        <v>2.7244480653062488E-2</v>
      </c>
      <c r="BY90" s="31">
        <v>4.6367990275008812E-2</v>
      </c>
      <c r="BZ90" s="31">
        <v>1.6052357644044685E-2</v>
      </c>
      <c r="CA90" s="31">
        <v>2.235823993983228E-2</v>
      </c>
      <c r="CB90" s="31">
        <v>7.9192421781477326E-3</v>
      </c>
      <c r="CC90" s="31">
        <v>4.4041084389286916E-2</v>
      </c>
      <c r="CD90" s="31">
        <v>2.8059552299345369E-2</v>
      </c>
      <c r="CE90" s="31">
        <v>3.9292432478946621E-2</v>
      </c>
      <c r="CF90" s="31">
        <v>9.7207740005767224E-3</v>
      </c>
      <c r="CG90" s="32">
        <v>1.4087939009008415E-2</v>
      </c>
    </row>
    <row r="91" spans="1:182" x14ac:dyDescent="0.3">
      <c r="A91" s="30" t="s">
        <v>153</v>
      </c>
      <c r="B91" s="31" t="s">
        <v>136</v>
      </c>
      <c r="C91" s="31">
        <v>0.13507252571017264</v>
      </c>
      <c r="D91" s="31">
        <v>3.1782643195858953E-2</v>
      </c>
      <c r="E91" s="31">
        <v>1.6023147857156597E-2</v>
      </c>
      <c r="F91" s="31">
        <v>5.1490345784289335E-2</v>
      </c>
      <c r="G91" s="31">
        <v>5.0961237235039543E-2</v>
      </c>
      <c r="H91" s="31" t="s">
        <v>136</v>
      </c>
      <c r="I91" s="31">
        <v>5.9150798220845915E-2</v>
      </c>
      <c r="J91" s="31" t="s">
        <v>136</v>
      </c>
      <c r="K91" s="31">
        <v>4.3515417048027E-2</v>
      </c>
      <c r="L91" s="31">
        <v>3.4294401891025929E-2</v>
      </c>
      <c r="M91" s="31">
        <v>4.1682402175905499E-2</v>
      </c>
      <c r="N91" s="31">
        <v>2.6301535274988148E-2</v>
      </c>
      <c r="O91" s="31">
        <v>3.2985776903694704E-2</v>
      </c>
      <c r="P91" s="31">
        <v>6.2169038657285687E-2</v>
      </c>
      <c r="Q91" s="31">
        <v>1.9025439486709396E-4</v>
      </c>
      <c r="R91" s="31">
        <v>0.20015429998363163</v>
      </c>
      <c r="S91" s="31">
        <v>3.03599431137636E-2</v>
      </c>
      <c r="T91" s="31">
        <v>7.6129754451782189E-2</v>
      </c>
      <c r="U91" s="31">
        <v>8.191150671171947E-2</v>
      </c>
      <c r="V91" s="31">
        <v>6.3145567222895008E-2</v>
      </c>
      <c r="W91" s="31">
        <v>6.2088535170143247E-2</v>
      </c>
      <c r="X91" s="31">
        <v>1.5335854386064817E-2</v>
      </c>
      <c r="Y91" s="31">
        <v>2.749489220003817E-2</v>
      </c>
      <c r="Z91" s="31">
        <v>7.1839165400012367E-2</v>
      </c>
      <c r="AA91" s="31" t="s">
        <v>136</v>
      </c>
      <c r="AB91" s="31">
        <v>0.11250115410436122</v>
      </c>
      <c r="AC91" s="31">
        <v>0.12950003970147533</v>
      </c>
      <c r="AD91" s="31">
        <v>3.6561488127720872E-2</v>
      </c>
      <c r="AE91" s="31">
        <v>0.1533513773037265</v>
      </c>
      <c r="AF91" s="31">
        <v>2.2401751831791546E-2</v>
      </c>
      <c r="AG91" s="31">
        <v>8.4831146402810628E-2</v>
      </c>
      <c r="AH91" s="31" t="s">
        <v>136</v>
      </c>
      <c r="AI91" s="32"/>
      <c r="AJ91" s="31"/>
      <c r="AK91" s="31">
        <v>7.2863263350728527E-2</v>
      </c>
      <c r="AL91" s="31">
        <v>0.12821289972018707</v>
      </c>
      <c r="AM91" s="31">
        <v>1.5008348789128271E-2</v>
      </c>
      <c r="AN91" s="31">
        <v>1.2960292036657259E-2</v>
      </c>
      <c r="AO91" s="31">
        <v>1.2923199068534917E-2</v>
      </c>
      <c r="AP91" s="31">
        <v>4.3167774137930881E-2</v>
      </c>
      <c r="AQ91" s="31">
        <v>2.9714232715792332E-2</v>
      </c>
      <c r="AR91" s="31">
        <v>6.260691916713805E-2</v>
      </c>
      <c r="AS91" s="31">
        <v>9.4048583526455218E-2</v>
      </c>
      <c r="AT91" s="31">
        <v>0.11176739195200712</v>
      </c>
      <c r="AU91" s="31" t="s">
        <v>136</v>
      </c>
      <c r="AV91" s="31">
        <v>1.4052808762116599E-2</v>
      </c>
      <c r="AW91" s="31">
        <v>1.4460606129234041E-2</v>
      </c>
      <c r="AX91" s="31">
        <v>0.13037152933399634</v>
      </c>
      <c r="AY91" s="31">
        <v>0.10015019678014617</v>
      </c>
      <c r="AZ91" s="31">
        <v>5.9730019612081457E-2</v>
      </c>
      <c r="BA91" s="31" t="s">
        <v>136</v>
      </c>
      <c r="BB91" s="31">
        <v>1.6304991517190316E-2</v>
      </c>
      <c r="BC91" s="31">
        <v>1.6916470511361498E-2</v>
      </c>
      <c r="BD91" s="31">
        <v>0.13863557609552896</v>
      </c>
      <c r="BE91" s="31"/>
      <c r="BF91" s="31">
        <v>3.6085265198802258E-2</v>
      </c>
      <c r="BG91" s="31">
        <v>3.1103021639346216E-2</v>
      </c>
      <c r="BH91" s="31">
        <v>2.7480752790573298E-2</v>
      </c>
      <c r="BI91" s="31">
        <v>5.1278427908613942E-2</v>
      </c>
      <c r="BJ91" s="31">
        <v>0.13361364575038892</v>
      </c>
      <c r="BK91" s="31">
        <v>0.41988986206290624</v>
      </c>
      <c r="BL91" s="31">
        <v>0.34426979340203379</v>
      </c>
      <c r="BM91" s="31" t="s">
        <v>136</v>
      </c>
      <c r="BN91" s="31">
        <v>3.9296851989358485E-2</v>
      </c>
      <c r="BO91" s="31">
        <v>2.0188559749626404E-2</v>
      </c>
      <c r="BP91" s="32">
        <v>1.8446208466954672E-2</v>
      </c>
      <c r="BQ91" s="31">
        <v>0.19227270422109335</v>
      </c>
      <c r="BR91" s="31">
        <v>0.30077290318342242</v>
      </c>
      <c r="BS91" s="31">
        <v>1.596669340689285E-2</v>
      </c>
      <c r="BT91" s="31">
        <v>8.1901273471548294E-3</v>
      </c>
      <c r="BU91" s="31">
        <v>0.14824808103429338</v>
      </c>
      <c r="BV91" s="31">
        <v>0.14734409611189403</v>
      </c>
      <c r="BW91" s="31">
        <v>0.22944569227663839</v>
      </c>
      <c r="BX91" s="31">
        <v>2.0315650714933249E-2</v>
      </c>
      <c r="BY91" s="31">
        <v>0.12941330793673295</v>
      </c>
      <c r="BZ91" s="31">
        <v>2.2625280971069819E-2</v>
      </c>
      <c r="CA91" s="31">
        <v>3.4154602803353584E-2</v>
      </c>
      <c r="CB91" s="31">
        <v>9.6279738464552234E-3</v>
      </c>
      <c r="CC91" s="31">
        <v>7.3580644165186046E-2</v>
      </c>
      <c r="CD91" s="31">
        <v>5.1855119221603935E-3</v>
      </c>
      <c r="CE91" s="31">
        <v>5.9282734405002195E-2</v>
      </c>
      <c r="CF91" s="31">
        <v>2.7759961821862765E-2</v>
      </c>
      <c r="CG91" s="32">
        <v>1.8164371451933174E-2</v>
      </c>
    </row>
    <row r="92" spans="1:182" x14ac:dyDescent="0.3">
      <c r="A92" s="30" t="s">
        <v>154</v>
      </c>
      <c r="B92" s="31" t="s">
        <v>136</v>
      </c>
      <c r="C92" s="31">
        <v>2.2218701726732307E-2</v>
      </c>
      <c r="D92" s="31">
        <v>1.0512060431217638E-2</v>
      </c>
      <c r="E92" s="31" t="s">
        <v>136</v>
      </c>
      <c r="F92" s="31">
        <v>3.3908896592927992E-2</v>
      </c>
      <c r="G92" s="31">
        <v>2.1784180554482039E-3</v>
      </c>
      <c r="H92" s="31" t="s">
        <v>136</v>
      </c>
      <c r="I92" s="31" t="s">
        <v>136</v>
      </c>
      <c r="J92" s="31" t="s">
        <v>136</v>
      </c>
      <c r="K92" s="31" t="s">
        <v>136</v>
      </c>
      <c r="L92" s="31">
        <v>7.6214685897616954E-3</v>
      </c>
      <c r="M92" s="31" t="s">
        <v>136</v>
      </c>
      <c r="N92" s="31">
        <v>6.3438630549651947E-3</v>
      </c>
      <c r="O92" s="31">
        <v>7.0644943513726525E-3</v>
      </c>
      <c r="P92" s="31">
        <v>1.0921907947368118E-2</v>
      </c>
      <c r="Q92" s="31" t="s">
        <v>136</v>
      </c>
      <c r="R92" s="31">
        <v>0.15513144430222717</v>
      </c>
      <c r="S92" s="31" t="s">
        <v>136</v>
      </c>
      <c r="T92" s="31">
        <v>7.8403574178552413E-2</v>
      </c>
      <c r="U92" s="31">
        <v>3.4791577813287546E-2</v>
      </c>
      <c r="V92" s="31">
        <v>6.6299312442494483E-3</v>
      </c>
      <c r="W92" s="31">
        <v>5.6032194078464409E-2</v>
      </c>
      <c r="X92" s="31" t="s">
        <v>136</v>
      </c>
      <c r="Y92" s="31">
        <v>1.0969436439275854E-2</v>
      </c>
      <c r="Z92" s="31">
        <v>8.8957960226016299E-3</v>
      </c>
      <c r="AA92" s="31" t="s">
        <v>136</v>
      </c>
      <c r="AB92" s="31">
        <v>2.9694255799266572E-2</v>
      </c>
      <c r="AC92" s="31">
        <v>5.9276364257418931E-2</v>
      </c>
      <c r="AD92" s="31">
        <v>5.14319908781119E-2</v>
      </c>
      <c r="AE92" s="31">
        <v>2.4082812518976596E-2</v>
      </c>
      <c r="AF92" s="31">
        <v>3.0358639755948488E-2</v>
      </c>
      <c r="AG92" s="31">
        <v>2.2909890868712209E-2</v>
      </c>
      <c r="AH92" s="31" t="s">
        <v>136</v>
      </c>
      <c r="AI92" s="32"/>
      <c r="AJ92" s="31"/>
      <c r="AK92" s="31">
        <v>1.5452410218648863E-2</v>
      </c>
      <c r="AL92" s="31">
        <v>3.401378007545907E-2</v>
      </c>
      <c r="AM92" s="31">
        <v>7.5923983374835717E-3</v>
      </c>
      <c r="AN92" s="31">
        <v>4.4145573624026569E-3</v>
      </c>
      <c r="AO92" s="31">
        <v>1.1197172697259238E-4</v>
      </c>
      <c r="AP92" s="31">
        <v>1.0497512611045044E-3</v>
      </c>
      <c r="AQ92" s="31">
        <v>2.5388913516921185E-2</v>
      </c>
      <c r="AR92" s="31">
        <v>2.3496659518246584E-2</v>
      </c>
      <c r="AS92" s="31">
        <v>9.8434126629276072E-2</v>
      </c>
      <c r="AT92" s="31">
        <v>2.8297982960898745E-3</v>
      </c>
      <c r="AU92" s="31" t="s">
        <v>136</v>
      </c>
      <c r="AV92" s="31">
        <v>7.6623826446877673E-3</v>
      </c>
      <c r="AW92" s="31">
        <v>2.9410128425196779E-3</v>
      </c>
      <c r="AX92" s="31">
        <v>7.7648069921218968E-3</v>
      </c>
      <c r="AY92" s="31">
        <v>6.257736864526979E-2</v>
      </c>
      <c r="AZ92" s="31">
        <v>1.5241231288615695E-2</v>
      </c>
      <c r="BA92" s="31" t="s">
        <v>136</v>
      </c>
      <c r="BB92" s="31">
        <v>6.1546145739222085E-3</v>
      </c>
      <c r="BC92" s="31">
        <v>2.4574456716467574E-2</v>
      </c>
      <c r="BD92" s="31">
        <v>1.5678918897460398E-2</v>
      </c>
      <c r="BE92" s="31"/>
      <c r="BF92" s="31">
        <v>5.411731903694425E-2</v>
      </c>
      <c r="BG92" s="31">
        <v>6.9450173403333825E-3</v>
      </c>
      <c r="BH92" s="31">
        <v>8.7171522272713898E-3</v>
      </c>
      <c r="BI92" s="31">
        <v>1.4964760880287096E-2</v>
      </c>
      <c r="BJ92" s="31">
        <v>2.7287271013273742E-2</v>
      </c>
      <c r="BK92" s="31">
        <v>0.21974546424706551</v>
      </c>
      <c r="BL92" s="31">
        <v>2.7652398809459459E-2</v>
      </c>
      <c r="BM92" s="31" t="s">
        <v>136</v>
      </c>
      <c r="BN92" s="31">
        <v>1.7049518057348678E-2</v>
      </c>
      <c r="BO92" s="31">
        <v>9.2904056875556633E-3</v>
      </c>
      <c r="BP92" s="32">
        <v>1.5526432150060897E-2</v>
      </c>
      <c r="BQ92" s="31">
        <v>3.5299432152770503E-2</v>
      </c>
      <c r="BR92" s="31">
        <v>5.6703965313537857E-2</v>
      </c>
      <c r="BS92" s="31">
        <v>1.8756648457547308E-3</v>
      </c>
      <c r="BT92" s="31">
        <v>4.744024233726555E-5</v>
      </c>
      <c r="BU92" s="31">
        <v>1.1473478730267529E-2</v>
      </c>
      <c r="BV92" s="31">
        <v>3.979688683704765E-2</v>
      </c>
      <c r="BW92" s="31" t="s">
        <v>136</v>
      </c>
      <c r="BX92" s="31">
        <v>5.1739267183767675E-3</v>
      </c>
      <c r="BY92" s="31" t="s">
        <v>136</v>
      </c>
      <c r="BZ92" s="31">
        <v>9.8095297084641736E-3</v>
      </c>
      <c r="CA92" s="31" t="s">
        <v>136</v>
      </c>
      <c r="CB92" s="31" t="s">
        <v>136</v>
      </c>
      <c r="CC92" s="31" t="s">
        <v>136</v>
      </c>
      <c r="CD92" s="31" t="s">
        <v>136</v>
      </c>
      <c r="CE92" s="31">
        <v>4.2317292478062631E-2</v>
      </c>
      <c r="CF92" s="31">
        <v>6.52039884560116E-4</v>
      </c>
      <c r="CG92" s="32" t="s">
        <v>136</v>
      </c>
    </row>
    <row r="93" spans="1:182" x14ac:dyDescent="0.3">
      <c r="A93" s="30" t="s">
        <v>155</v>
      </c>
      <c r="B93" s="31">
        <v>9.7868340754345244E-3</v>
      </c>
      <c r="C93" s="31">
        <v>3.4643481360399742E-2</v>
      </c>
      <c r="D93" s="31">
        <v>3.4077378527957537E-2</v>
      </c>
      <c r="E93" s="31" t="s">
        <v>136</v>
      </c>
      <c r="F93" s="31">
        <v>6.0457491659852945E-3</v>
      </c>
      <c r="G93" s="31">
        <v>3.2905396078266647E-3</v>
      </c>
      <c r="H93" s="31">
        <v>0.51246716238348178</v>
      </c>
      <c r="I93" s="31">
        <v>0.17256459249170389</v>
      </c>
      <c r="J93" s="31" t="s">
        <v>136</v>
      </c>
      <c r="K93" s="31">
        <v>2.9419398115504789E-2</v>
      </c>
      <c r="L93" s="31">
        <v>1.0757626746854522E-2</v>
      </c>
      <c r="M93" s="31">
        <v>4.0057004069732435E-2</v>
      </c>
      <c r="N93" s="31">
        <v>1.3571505186674427E-2</v>
      </c>
      <c r="O93" s="31" t="s">
        <v>136</v>
      </c>
      <c r="P93" s="31">
        <v>5.0212304652807477E-3</v>
      </c>
      <c r="Q93" s="31">
        <v>2.5174730867594693E-2</v>
      </c>
      <c r="R93" s="31">
        <v>0.31027304696423325</v>
      </c>
      <c r="S93" s="31" t="s">
        <v>136</v>
      </c>
      <c r="T93" s="31">
        <v>0.5932134639540364</v>
      </c>
      <c r="U93" s="31">
        <v>0.29000278167691823</v>
      </c>
      <c r="V93" s="31">
        <v>2.8722245146156991E-3</v>
      </c>
      <c r="W93" s="31" t="s">
        <v>136</v>
      </c>
      <c r="X93" s="31" t="s">
        <v>136</v>
      </c>
      <c r="Y93" s="31">
        <v>1.0149981667045853E-2</v>
      </c>
      <c r="Z93" s="31">
        <v>0.18400642726048694</v>
      </c>
      <c r="AA93" s="31">
        <v>4.0094245884461185E-2</v>
      </c>
      <c r="AB93" s="31">
        <v>2.4674565034701782E-2</v>
      </c>
      <c r="AC93" s="31">
        <v>0.16450022789993446</v>
      </c>
      <c r="AD93" s="31">
        <v>2.3371783158453178E-2</v>
      </c>
      <c r="AE93" s="31">
        <v>0.3034184949711542</v>
      </c>
      <c r="AF93" s="31">
        <v>3.8152332152427388E-4</v>
      </c>
      <c r="AG93" s="31">
        <v>7.641678032084649E-3</v>
      </c>
      <c r="AH93" s="31">
        <v>2.2429268148465617E-2</v>
      </c>
      <c r="AI93" s="32"/>
      <c r="AJ93" s="31"/>
      <c r="AK93" s="31">
        <v>4.8277998447899449E-4</v>
      </c>
      <c r="AL93" s="31">
        <v>0.20444276690950791</v>
      </c>
      <c r="AM93" s="31">
        <v>6.309241701727715E-2</v>
      </c>
      <c r="AN93" s="31">
        <v>3.0239468407890612E-3</v>
      </c>
      <c r="AO93" s="31">
        <v>3.9343945902154944E-3</v>
      </c>
      <c r="AP93" s="31">
        <v>1.8772464601523185E-2</v>
      </c>
      <c r="AQ93" s="31" t="s">
        <v>136</v>
      </c>
      <c r="AR93" s="31">
        <v>2.704742396462307E-2</v>
      </c>
      <c r="AS93" s="31">
        <v>0.10246338707843741</v>
      </c>
      <c r="AT93" s="31">
        <v>8.655819936716104E-2</v>
      </c>
      <c r="AU93" s="31" t="s">
        <v>136</v>
      </c>
      <c r="AV93" s="31">
        <v>1.8389401780331003E-3</v>
      </c>
      <c r="AW93" s="31">
        <v>1.0388476114247672E-3</v>
      </c>
      <c r="AX93" s="31">
        <v>4.2765627322691895E-2</v>
      </c>
      <c r="AY93" s="31">
        <v>5.181072194949813E-2</v>
      </c>
      <c r="AZ93" s="31">
        <v>5.8122513556718765E-3</v>
      </c>
      <c r="BA93" s="31">
        <v>3.0364858389873776E-3</v>
      </c>
      <c r="BB93" s="31" t="s">
        <v>136</v>
      </c>
      <c r="BC93" s="31">
        <v>2.161397987783148E-3</v>
      </c>
      <c r="BD93" s="31">
        <v>0.10609314722177472</v>
      </c>
      <c r="BE93" s="31"/>
      <c r="BF93" s="31">
        <v>3.5692643038147203E-3</v>
      </c>
      <c r="BG93" s="31">
        <v>3.5280984133351527E-4</v>
      </c>
      <c r="BH93" s="31" t="s">
        <v>136</v>
      </c>
      <c r="BI93" s="31">
        <v>5.0335623369865995E-2</v>
      </c>
      <c r="BJ93" s="31">
        <v>2.5084491626211514E-2</v>
      </c>
      <c r="BK93" s="31">
        <v>0.10011606905880938</v>
      </c>
      <c r="BL93" s="31" t="s">
        <v>136</v>
      </c>
      <c r="BM93" s="31" t="s">
        <v>136</v>
      </c>
      <c r="BN93" s="31">
        <v>8.7745800750991957E-4</v>
      </c>
      <c r="BO93" s="31">
        <v>1.4782893216915852E-2</v>
      </c>
      <c r="BP93" s="32">
        <v>9.303356327553235E-3</v>
      </c>
      <c r="BQ93" s="31">
        <v>1.7230053370004959</v>
      </c>
      <c r="BR93" s="31">
        <v>1.3759323401475809</v>
      </c>
      <c r="BS93" s="31">
        <v>0.14361378854085988</v>
      </c>
      <c r="BT93" s="31">
        <v>0.12388939084782312</v>
      </c>
      <c r="BU93" s="31">
        <v>3.2971966655514169E-2</v>
      </c>
      <c r="BV93" s="31">
        <v>0.67481827855195575</v>
      </c>
      <c r="BW93" s="31">
        <v>0.67971065173091061</v>
      </c>
      <c r="BX93" s="31">
        <v>0.12825525576417166</v>
      </c>
      <c r="BY93" s="31">
        <v>0.19868921486642085</v>
      </c>
      <c r="BZ93" s="31">
        <v>0.41765929921843858</v>
      </c>
      <c r="CA93" s="31">
        <v>0.46824125964408481</v>
      </c>
      <c r="CB93" s="31">
        <v>0.41942802004485924</v>
      </c>
      <c r="CC93" s="31">
        <v>0.14938060139339207</v>
      </c>
      <c r="CD93" s="31">
        <v>0.84472121171692327</v>
      </c>
      <c r="CE93" s="31">
        <v>0.94844693617712539</v>
      </c>
      <c r="CF93" s="31">
        <v>5.982258767577333E-2</v>
      </c>
      <c r="CG93" s="32">
        <v>0.39213924391624977</v>
      </c>
    </row>
    <row r="94" spans="1:182" x14ac:dyDescent="0.3">
      <c r="A94" s="30" t="s">
        <v>156</v>
      </c>
      <c r="B94" s="31">
        <v>1.4975315665131109E-2</v>
      </c>
      <c r="C94" s="31">
        <v>5.4587724433524459E-4</v>
      </c>
      <c r="D94" s="31">
        <v>6.0252189751553971E-4</v>
      </c>
      <c r="E94" s="31">
        <v>9.9496721696211367E-4</v>
      </c>
      <c r="F94" s="31">
        <v>9.5273364383591437E-5</v>
      </c>
      <c r="G94" s="31">
        <v>2.4385820518559647E-4</v>
      </c>
      <c r="H94" s="31">
        <v>2.0359891971739322E-2</v>
      </c>
      <c r="I94" s="31">
        <v>3.7606023433270565E-3</v>
      </c>
      <c r="J94" s="31" t="s">
        <v>136</v>
      </c>
      <c r="K94" s="31">
        <v>4.1282074676389988E-3</v>
      </c>
      <c r="L94" s="31">
        <v>4.4392933569642213E-4</v>
      </c>
      <c r="M94" s="31">
        <v>4.3788503280954122E-4</v>
      </c>
      <c r="N94" s="31">
        <v>2.9217032754913258E-4</v>
      </c>
      <c r="O94" s="31">
        <v>2.6898091334592812E-4</v>
      </c>
      <c r="P94" s="31">
        <v>1.0875323044297646E-4</v>
      </c>
      <c r="Q94" s="31">
        <v>1.1635838544234216E-4</v>
      </c>
      <c r="R94" s="31">
        <v>1.6522103064043046E-3</v>
      </c>
      <c r="S94" s="31">
        <v>2.280921809184217E-3</v>
      </c>
      <c r="T94" s="31">
        <v>3.1328607066196585E-3</v>
      </c>
      <c r="U94" s="31">
        <v>1.4575109952337563E-3</v>
      </c>
      <c r="V94" s="31">
        <v>9.3765088245852763E-4</v>
      </c>
      <c r="W94" s="31">
        <v>1.6711762629591221E-3</v>
      </c>
      <c r="X94" s="31">
        <v>2.4101552249987341E-4</v>
      </c>
      <c r="Y94" s="31">
        <v>4.4987951784587803E-4</v>
      </c>
      <c r="Z94" s="31">
        <v>9.4564904226199828E-4</v>
      </c>
      <c r="AA94" s="31">
        <v>2.609563153747461E-3</v>
      </c>
      <c r="AB94" s="31">
        <v>1.6935541091897886E-3</v>
      </c>
      <c r="AC94" s="31">
        <v>2.211215880140394E-3</v>
      </c>
      <c r="AD94" s="31">
        <v>6.0781478860834641E-4</v>
      </c>
      <c r="AE94" s="31">
        <v>1.3628591859772758E-3</v>
      </c>
      <c r="AF94" s="31">
        <v>3.1701566674127626E-5</v>
      </c>
      <c r="AG94" s="31">
        <v>3.4567563898672815E-4</v>
      </c>
      <c r="AH94" s="31">
        <v>3.3784597135686615E-3</v>
      </c>
      <c r="AI94" s="32"/>
      <c r="AJ94" s="31"/>
      <c r="AK94" s="31">
        <v>2.1672103033696351E-4</v>
      </c>
      <c r="AL94" s="31">
        <v>3.4711594353882525E-4</v>
      </c>
      <c r="AM94" s="31">
        <v>1.5714285534400201E-3</v>
      </c>
      <c r="AN94" s="31">
        <v>2.6615230425512264E-5</v>
      </c>
      <c r="AO94" s="31">
        <v>8.0122879931184181E-5</v>
      </c>
      <c r="AP94" s="31">
        <v>5.0811598267968389E-4</v>
      </c>
      <c r="AQ94" s="31">
        <v>2.0675325723841387E-4</v>
      </c>
      <c r="AR94" s="31">
        <v>1.1562007981280329E-4</v>
      </c>
      <c r="AS94" s="31">
        <v>8.0476955770960419E-4</v>
      </c>
      <c r="AT94" s="31">
        <v>1.9032868522304833E-4</v>
      </c>
      <c r="AU94" s="31" t="s">
        <v>136</v>
      </c>
      <c r="AV94" s="31">
        <v>4.3444742740826274E-5</v>
      </c>
      <c r="AW94" s="31">
        <v>3.8741826320479677E-4</v>
      </c>
      <c r="AX94" s="31">
        <v>1.0082761053922828E-5</v>
      </c>
      <c r="AY94" s="31">
        <v>1.1037269187986296E-3</v>
      </c>
      <c r="AZ94" s="31">
        <v>3.7123506136994296E-4</v>
      </c>
      <c r="BA94" s="31">
        <v>2.3988959343789477E-4</v>
      </c>
      <c r="BB94" s="31">
        <v>2.2004253171958158E-4</v>
      </c>
      <c r="BC94" s="31">
        <v>1.990167602431142E-4</v>
      </c>
      <c r="BD94" s="31">
        <v>9.6093650285158656E-4</v>
      </c>
      <c r="BE94" s="31"/>
      <c r="BF94" s="31">
        <v>1.180947738146679E-4</v>
      </c>
      <c r="BG94" s="31">
        <v>8.1445282130671734E-5</v>
      </c>
      <c r="BH94" s="31">
        <v>1.6275356435697513E-4</v>
      </c>
      <c r="BI94" s="31">
        <v>1.2127671726871211E-4</v>
      </c>
      <c r="BJ94" s="31">
        <v>3.7072912337620452E-4</v>
      </c>
      <c r="BK94" s="31">
        <v>1.0164664117172477E-3</v>
      </c>
      <c r="BL94" s="31">
        <v>0</v>
      </c>
      <c r="BM94" s="31" t="s">
        <v>136</v>
      </c>
      <c r="BN94" s="31">
        <v>2.4349299594858778E-4</v>
      </c>
      <c r="BO94" s="31">
        <v>3.5678458235873791E-4</v>
      </c>
      <c r="BP94" s="32">
        <v>2.3290354835170299E-3</v>
      </c>
      <c r="BQ94" s="31">
        <v>1.664132564080173E-2</v>
      </c>
      <c r="BR94" s="31">
        <v>3.8607203771121493E-2</v>
      </c>
      <c r="BS94" s="31">
        <v>3.7846849571516027E-3</v>
      </c>
      <c r="BT94" s="31">
        <v>2.0283900286883947E-3</v>
      </c>
      <c r="BU94" s="31">
        <v>6.9239060256512863E-4</v>
      </c>
      <c r="BV94" s="31">
        <v>1.4776773283749217E-2</v>
      </c>
      <c r="BW94" s="31">
        <v>1.8796053425462918E-2</v>
      </c>
      <c r="BX94" s="31">
        <v>9.0080201448101201E-4</v>
      </c>
      <c r="BY94" s="31">
        <v>2.3589548358177014E-3</v>
      </c>
      <c r="BZ94" s="31">
        <v>7.7467253608084954E-3</v>
      </c>
      <c r="CA94" s="31">
        <v>1.2968193795310343E-2</v>
      </c>
      <c r="CB94" s="31">
        <v>3.4307687359705573E-3</v>
      </c>
      <c r="CC94" s="31">
        <v>3.7749803025641814E-3</v>
      </c>
      <c r="CD94" s="31">
        <v>2.6589167696489301E-2</v>
      </c>
      <c r="CE94" s="31">
        <v>2.2918879476541466E-2</v>
      </c>
      <c r="CF94" s="31">
        <v>7.1012372598107951E-4</v>
      </c>
      <c r="CG94" s="32">
        <v>8.2025123470273742E-3</v>
      </c>
    </row>
    <row r="95" spans="1:182" x14ac:dyDescent="0.3">
      <c r="A95" s="30" t="s">
        <v>157</v>
      </c>
      <c r="B95" s="31">
        <v>6.8751178580901975E-2</v>
      </c>
      <c r="C95" s="31">
        <v>3.6274940774899973E-3</v>
      </c>
      <c r="D95" s="31">
        <v>4.25859514216356E-3</v>
      </c>
      <c r="E95" s="31" t="s">
        <v>136</v>
      </c>
      <c r="F95" s="31">
        <v>1.7516299097467346E-2</v>
      </c>
      <c r="G95" s="31">
        <v>1.1873954866018173E-2</v>
      </c>
      <c r="H95" s="31">
        <v>3.1156288035665117E-2</v>
      </c>
      <c r="I95" s="31" t="s">
        <v>136</v>
      </c>
      <c r="J95" s="31" t="s">
        <v>136</v>
      </c>
      <c r="K95" s="31">
        <v>1.5790100709336915E-3</v>
      </c>
      <c r="L95" s="31">
        <v>4.181084835303937E-3</v>
      </c>
      <c r="M95" s="31">
        <v>8.3051485346616518E-3</v>
      </c>
      <c r="N95" s="31">
        <v>6.7834711081206341E-3</v>
      </c>
      <c r="O95" s="31">
        <v>2.3550481192277676E-3</v>
      </c>
      <c r="P95" s="31">
        <v>1.0841329619410194E-2</v>
      </c>
      <c r="Q95" s="31">
        <v>1.9895636718919268E-3</v>
      </c>
      <c r="R95" s="31">
        <v>1.0625077570795879E-2</v>
      </c>
      <c r="S95" s="31" t="s">
        <v>136</v>
      </c>
      <c r="T95" s="31">
        <v>4.9526633422219316E-2</v>
      </c>
      <c r="U95" s="31">
        <v>1.474992065030086E-2</v>
      </c>
      <c r="V95" s="31">
        <v>1.6832606418838058E-2</v>
      </c>
      <c r="W95" s="31">
        <v>3.168496443757645E-2</v>
      </c>
      <c r="X95" s="31">
        <v>8.5755324156431556E-3</v>
      </c>
      <c r="Y95" s="31">
        <v>5.2465117735868297E-3</v>
      </c>
      <c r="Z95" s="31">
        <v>5.4638772489389023E-3</v>
      </c>
      <c r="AA95" s="31" t="s">
        <v>136</v>
      </c>
      <c r="AB95" s="31">
        <v>3.8164997234303773E-3</v>
      </c>
      <c r="AC95" s="31">
        <v>6.6647973840578273E-3</v>
      </c>
      <c r="AD95" s="31">
        <v>2.7587168579898875E-3</v>
      </c>
      <c r="AE95" s="31">
        <v>8.0564707445098666E-3</v>
      </c>
      <c r="AF95" s="31">
        <v>7.0352294401911748E-3</v>
      </c>
      <c r="AG95" s="31">
        <v>9.1127723291318536E-3</v>
      </c>
      <c r="AH95" s="31">
        <v>1.0626829877627742E-2</v>
      </c>
      <c r="AI95" s="32"/>
      <c r="AJ95" s="31"/>
      <c r="AK95" s="31" t="s">
        <v>136</v>
      </c>
      <c r="AL95" s="31">
        <v>2.3697228409851083E-3</v>
      </c>
      <c r="AM95" s="31">
        <v>1.3362415270240058E-3</v>
      </c>
      <c r="AN95" s="31">
        <v>9.4544169778435772E-3</v>
      </c>
      <c r="AO95" s="31">
        <v>2.7695583776347083E-3</v>
      </c>
      <c r="AP95" s="31">
        <v>2.40652940509029E-3</v>
      </c>
      <c r="AQ95" s="31">
        <v>4.5802047451639913E-3</v>
      </c>
      <c r="AR95" s="31">
        <v>3.6801183737908733E-3</v>
      </c>
      <c r="AS95" s="31">
        <v>2.4590529996516976E-3</v>
      </c>
      <c r="AT95" s="31">
        <v>1.260083658836288E-2</v>
      </c>
      <c r="AU95" s="31">
        <v>5.0905697811485994E-3</v>
      </c>
      <c r="AV95" s="31">
        <v>3.7336414169930284E-3</v>
      </c>
      <c r="AW95" s="31">
        <v>2.6086596202656602E-3</v>
      </c>
      <c r="AX95" s="31">
        <v>3.396798459866829E-3</v>
      </c>
      <c r="AY95" s="31">
        <v>2.2416687080363683E-3</v>
      </c>
      <c r="AZ95" s="31">
        <v>2.8831580268466714E-3</v>
      </c>
      <c r="BA95" s="31">
        <v>6.6630537316824312E-5</v>
      </c>
      <c r="BB95" s="31">
        <v>1.5061404266666903E-2</v>
      </c>
      <c r="BC95" s="31">
        <v>1.7103121374294024E-3</v>
      </c>
      <c r="BD95" s="31">
        <v>7.2841589471633198E-3</v>
      </c>
      <c r="BE95" s="31"/>
      <c r="BF95" s="31">
        <v>1.1944925754590651E-2</v>
      </c>
      <c r="BG95" s="31">
        <v>3.556786887605396E-3</v>
      </c>
      <c r="BH95" s="31">
        <v>1.8648871574833133E-4</v>
      </c>
      <c r="BI95" s="31">
        <v>7.9864713550822614E-2</v>
      </c>
      <c r="BJ95" s="31">
        <v>2.95786418441583E-3</v>
      </c>
      <c r="BK95" s="31">
        <v>2.8574453637444626E-3</v>
      </c>
      <c r="BL95" s="31">
        <v>1.5884924305954153E-2</v>
      </c>
      <c r="BM95" s="31" t="s">
        <v>136</v>
      </c>
      <c r="BN95" s="31">
        <v>7.4400010660485166E-4</v>
      </c>
      <c r="BO95" s="31">
        <v>6.7002349092715376E-3</v>
      </c>
      <c r="BP95" s="32">
        <v>9.4690224092305025E-3</v>
      </c>
      <c r="BQ95" s="31">
        <v>0.1048758601054053</v>
      </c>
      <c r="BR95" s="31">
        <v>6.5837925908685271E-2</v>
      </c>
      <c r="BS95" s="31">
        <v>2.2198807791311767E-3</v>
      </c>
      <c r="BT95" s="31">
        <v>2.6886261573911231E-3</v>
      </c>
      <c r="BU95" s="31">
        <v>4.9524017312410927E-2</v>
      </c>
      <c r="BV95" s="31">
        <v>2.7805956583762271E-2</v>
      </c>
      <c r="BW95" s="31">
        <v>2.2299760385786949E-2</v>
      </c>
      <c r="BX95" s="31">
        <v>0.10650946679572107</v>
      </c>
      <c r="BY95" s="31">
        <v>0.16931558584130807</v>
      </c>
      <c r="BZ95" s="31" t="s">
        <v>136</v>
      </c>
      <c r="CA95" s="31">
        <v>8.1913323611266381E-3</v>
      </c>
      <c r="CB95" s="31">
        <v>2.1104004931211756E-2</v>
      </c>
      <c r="CC95" s="31">
        <v>2.6793654879576544E-2</v>
      </c>
      <c r="CD95" s="31">
        <v>2.1711114619298359E-2</v>
      </c>
      <c r="CE95" s="31">
        <v>8.7534740338401189E-3</v>
      </c>
      <c r="CF95" s="31">
        <v>2.8017202879086683E-2</v>
      </c>
      <c r="CG95" s="32">
        <v>6.0377059059778474E-3</v>
      </c>
    </row>
    <row r="96" spans="1:182" x14ac:dyDescent="0.3">
      <c r="A96" s="30" t="s">
        <v>158</v>
      </c>
      <c r="B96" s="31">
        <v>0.14876481415446871</v>
      </c>
      <c r="C96" s="31">
        <v>1.5984473603741504E-2</v>
      </c>
      <c r="D96" s="31">
        <v>5.4297733658571923E-3</v>
      </c>
      <c r="E96" s="31">
        <v>7.9338085739585444E-3</v>
      </c>
      <c r="F96" s="31">
        <v>1.4724911476970411E-2</v>
      </c>
      <c r="G96" s="31">
        <v>1.0700966525559658E-2</v>
      </c>
      <c r="H96" s="31">
        <v>6.7628783761024394E-2</v>
      </c>
      <c r="I96" s="31">
        <v>2.176577629510586E-2</v>
      </c>
      <c r="J96" s="31">
        <v>6.5247604361258493E-4</v>
      </c>
      <c r="K96" s="31">
        <v>2.1709997936723131E-2</v>
      </c>
      <c r="L96" s="31">
        <v>1.0724680612586341E-2</v>
      </c>
      <c r="M96" s="31">
        <v>2.0203673416588866E-2</v>
      </c>
      <c r="N96" s="31">
        <v>8.5202773191502563E-3</v>
      </c>
      <c r="O96" s="31">
        <v>1.3404273912839505E-2</v>
      </c>
      <c r="P96" s="31">
        <v>1.3744651821907648E-2</v>
      </c>
      <c r="Q96" s="31">
        <v>1.1287868362125407E-3</v>
      </c>
      <c r="R96" s="31">
        <v>1.340801641790801E-2</v>
      </c>
      <c r="S96" s="31">
        <v>2.8659296360783151E-2</v>
      </c>
      <c r="T96" s="31">
        <v>8.5257264576210481E-2</v>
      </c>
      <c r="U96" s="31">
        <v>3.4687958784229568E-2</v>
      </c>
      <c r="V96" s="31">
        <v>3.4677936535378664E-2</v>
      </c>
      <c r="W96" s="31">
        <v>2.8629315870033072E-2</v>
      </c>
      <c r="X96" s="31">
        <v>7.7818270700094954E-3</v>
      </c>
      <c r="Y96" s="31">
        <v>6.4670526853697168E-3</v>
      </c>
      <c r="Z96" s="31">
        <v>1.8078986126968295E-2</v>
      </c>
      <c r="AA96" s="31">
        <v>1.5346410903524368E-2</v>
      </c>
      <c r="AB96" s="31">
        <v>1.1377594200462608E-2</v>
      </c>
      <c r="AC96" s="31">
        <v>9.6877270053851196E-3</v>
      </c>
      <c r="AD96" s="31">
        <v>3.7138907842495798E-3</v>
      </c>
      <c r="AE96" s="31">
        <v>1.7530338623315871E-2</v>
      </c>
      <c r="AF96" s="31">
        <v>8.3772007847921562E-3</v>
      </c>
      <c r="AG96" s="31">
        <v>1.4925453399607956E-2</v>
      </c>
      <c r="AH96" s="31">
        <v>3.0796711478334342E-2</v>
      </c>
      <c r="AI96" s="32"/>
      <c r="AJ96" s="31"/>
      <c r="AK96" s="31">
        <v>6.0226481712962951E-3</v>
      </c>
      <c r="AL96" s="31">
        <v>5.8525682724080239E-3</v>
      </c>
      <c r="AM96" s="31">
        <v>6.3142500266593913E-3</v>
      </c>
      <c r="AN96" s="31">
        <v>3.3135966852200034E-3</v>
      </c>
      <c r="AO96" s="31">
        <v>9.3860598276448177E-3</v>
      </c>
      <c r="AP96" s="31">
        <v>1.6474561813606334E-2</v>
      </c>
      <c r="AQ96" s="31">
        <v>6.0687339852244747E-3</v>
      </c>
      <c r="AR96" s="31">
        <v>2.3503441113769872E-2</v>
      </c>
      <c r="AS96" s="31">
        <v>1.0346961057656688E-2</v>
      </c>
      <c r="AT96" s="31">
        <v>5.359114556921004E-2</v>
      </c>
      <c r="AU96" s="31">
        <v>9.7892182181848631E-4</v>
      </c>
      <c r="AV96" s="31">
        <v>2.8913048299201876E-3</v>
      </c>
      <c r="AW96" s="31">
        <v>3.147334646999159E-3</v>
      </c>
      <c r="AX96" s="31">
        <v>9.5213995757120213E-3</v>
      </c>
      <c r="AY96" s="31">
        <v>2.6931211223185144E-3</v>
      </c>
      <c r="AZ96" s="31">
        <v>1.1168592476397683E-2</v>
      </c>
      <c r="BA96" s="31">
        <v>9.8800404693183256E-4</v>
      </c>
      <c r="BB96" s="31">
        <v>2.3429495955707398E-3</v>
      </c>
      <c r="BC96" s="31">
        <v>4.2557806089003588E-3</v>
      </c>
      <c r="BD96" s="31">
        <v>4.3548457385161027E-2</v>
      </c>
      <c r="BE96" s="31"/>
      <c r="BF96" s="31">
        <v>1.8582230449590773E-2</v>
      </c>
      <c r="BG96" s="31">
        <v>4.7364360268286774E-3</v>
      </c>
      <c r="BH96" s="31">
        <v>2.9628400868223492E-3</v>
      </c>
      <c r="BI96" s="31">
        <v>3.7686048194508624E-2</v>
      </c>
      <c r="BJ96" s="31">
        <v>2.3519331836671344E-2</v>
      </c>
      <c r="BK96" s="31">
        <v>6.8108210674907689E-3</v>
      </c>
      <c r="BL96" s="31">
        <v>2.3453862502627088E-2</v>
      </c>
      <c r="BM96" s="31">
        <v>4.5029933828230314E-4</v>
      </c>
      <c r="BN96" s="31">
        <v>9.7041270226117301E-3</v>
      </c>
      <c r="BO96" s="31">
        <v>5.6441887932291088E-3</v>
      </c>
      <c r="BP96" s="32">
        <v>4.8184650096047997E-3</v>
      </c>
      <c r="BQ96" s="31">
        <v>5.9807346572262686E-2</v>
      </c>
      <c r="BR96" s="31">
        <v>6.2109103560322662E-2</v>
      </c>
      <c r="BS96" s="31">
        <v>2.2723834117670174E-2</v>
      </c>
      <c r="BT96" s="31">
        <v>1.1346768110546475E-2</v>
      </c>
      <c r="BU96" s="31">
        <v>9.6329164131055967E-3</v>
      </c>
      <c r="BV96" s="31">
        <v>5.9113901548991918E-2</v>
      </c>
      <c r="BW96" s="31">
        <v>4.9460288235192003E-2</v>
      </c>
      <c r="BX96" s="31">
        <v>6.2293492482959805E-3</v>
      </c>
      <c r="BY96" s="31">
        <v>2.9592271953141038E-2</v>
      </c>
      <c r="BZ96" s="31">
        <v>4.3602236302290723E-2</v>
      </c>
      <c r="CA96" s="31">
        <v>0.13683359796179864</v>
      </c>
      <c r="CB96" s="31">
        <v>5.0574998988323912E-2</v>
      </c>
      <c r="CC96" s="31">
        <v>1.3837872961757794E-2</v>
      </c>
      <c r="CD96" s="31">
        <v>5.3365927892751248E-2</v>
      </c>
      <c r="CE96" s="31">
        <v>7.0995494258623476E-2</v>
      </c>
      <c r="CF96" s="31">
        <v>4.7954322435331776E-3</v>
      </c>
      <c r="CG96" s="32">
        <v>6.8993922858516382E-2</v>
      </c>
    </row>
    <row r="97" spans="1:182" x14ac:dyDescent="0.3">
      <c r="A97" s="30" t="s">
        <v>159</v>
      </c>
      <c r="B97" s="31">
        <v>2.809204091086491E-2</v>
      </c>
      <c r="C97" s="31">
        <v>6.4960930230188113E-3</v>
      </c>
      <c r="D97" s="31">
        <v>4.1904413335446776E-3</v>
      </c>
      <c r="E97" s="31">
        <v>6.4724470554083256E-3</v>
      </c>
      <c r="F97" s="31">
        <v>5.9784269453939734E-3</v>
      </c>
      <c r="G97" s="31">
        <v>5.4084682242540013E-3</v>
      </c>
      <c r="H97" s="31">
        <v>5.2977955693160557E-2</v>
      </c>
      <c r="I97" s="31">
        <v>1.8347563981514312E-2</v>
      </c>
      <c r="J97" s="31">
        <v>9.2068218337393589E-5</v>
      </c>
      <c r="K97" s="31">
        <v>6.197728696238641E-3</v>
      </c>
      <c r="L97" s="31">
        <v>1.7611535029331492E-3</v>
      </c>
      <c r="M97" s="31">
        <v>9.4765313319167244E-4</v>
      </c>
      <c r="N97" s="31">
        <v>1.9825639395230545E-3</v>
      </c>
      <c r="O97" s="31">
        <v>2.3240350870972828E-3</v>
      </c>
      <c r="P97" s="31">
        <v>1.2001632936589107E-3</v>
      </c>
      <c r="Q97" s="31">
        <v>1.1329549777721636E-3</v>
      </c>
      <c r="R97" s="31">
        <v>4.6703249489933188E-3</v>
      </c>
      <c r="S97" s="31">
        <v>1.5980421305585517E-2</v>
      </c>
      <c r="T97" s="31">
        <v>2.7730861766104438E-3</v>
      </c>
      <c r="U97" s="31">
        <v>2.1506499077755302E-3</v>
      </c>
      <c r="V97" s="31">
        <v>3.6056994190142196E-2</v>
      </c>
      <c r="W97" s="31">
        <v>5.7428364502987252E-2</v>
      </c>
      <c r="X97" s="31">
        <v>9.0467129598769246E-3</v>
      </c>
      <c r="Y97" s="31">
        <v>8.3956051816468282E-3</v>
      </c>
      <c r="Z97" s="31">
        <v>1.2636033536873113E-3</v>
      </c>
      <c r="AA97" s="31">
        <v>1.6787081729605857E-2</v>
      </c>
      <c r="AB97" s="31">
        <v>2.8151169984325822E-3</v>
      </c>
      <c r="AC97" s="31">
        <v>3.8954957747285861E-3</v>
      </c>
      <c r="AD97" s="31">
        <v>9.3845006080193742E-5</v>
      </c>
      <c r="AE97" s="31">
        <v>4.4230984007221355E-3</v>
      </c>
      <c r="AF97" s="31">
        <v>1.2758603055054244E-2</v>
      </c>
      <c r="AG97" s="31">
        <v>1.2082318237643601E-2</v>
      </c>
      <c r="AH97" s="31">
        <v>3.1558750316552725E-2</v>
      </c>
      <c r="AI97" s="32"/>
      <c r="AJ97" s="31"/>
      <c r="AK97" s="31">
        <v>4.1118596705894666E-3</v>
      </c>
      <c r="AL97" s="31">
        <v>8.5607529294200017E-4</v>
      </c>
      <c r="AM97" s="31">
        <v>1.9800297288360123E-3</v>
      </c>
      <c r="AN97" s="31">
        <v>1.0503033650836407E-3</v>
      </c>
      <c r="AO97" s="31">
        <v>1.3377472972763186E-3</v>
      </c>
      <c r="AP97" s="31">
        <v>1.5423893109423944E-3</v>
      </c>
      <c r="AQ97" s="31">
        <v>1.380891301670799E-2</v>
      </c>
      <c r="AR97" s="31">
        <v>3.1590053175382373E-3</v>
      </c>
      <c r="AS97" s="31">
        <v>4.3220803840098611E-3</v>
      </c>
      <c r="AT97" s="31">
        <v>5.0078075060597579E-3</v>
      </c>
      <c r="AU97" s="31">
        <v>6.9745957266894719E-4</v>
      </c>
      <c r="AV97" s="31">
        <v>1.318767940868631E-3</v>
      </c>
      <c r="AW97" s="31">
        <v>3.9639280309678657E-3</v>
      </c>
      <c r="AX97" s="31">
        <v>2.4481355343520346E-4</v>
      </c>
      <c r="AY97" s="31">
        <v>1.2218067130321205E-3</v>
      </c>
      <c r="AZ97" s="31">
        <v>2.5357479747960261E-3</v>
      </c>
      <c r="BA97" s="31">
        <v>1.0592199314355421E-3</v>
      </c>
      <c r="BB97" s="31">
        <v>9.3507663429634273E-4</v>
      </c>
      <c r="BC97" s="31">
        <v>1.8125311938466413E-3</v>
      </c>
      <c r="BD97" s="31">
        <v>5.6098152413219414E-3</v>
      </c>
      <c r="BE97" s="31"/>
      <c r="BF97" s="31">
        <v>1.4986357505693717E-2</v>
      </c>
      <c r="BG97" s="31">
        <v>4.6979192141857846E-3</v>
      </c>
      <c r="BH97" s="31">
        <v>1.1733993599059508E-3</v>
      </c>
      <c r="BI97" s="31">
        <v>2.8927357890972051E-3</v>
      </c>
      <c r="BJ97" s="31">
        <v>4.2516246954653033E-3</v>
      </c>
      <c r="BK97" s="31">
        <v>3.9495756835316058E-3</v>
      </c>
      <c r="BL97" s="31">
        <v>7.972189518505186E-3</v>
      </c>
      <c r="BM97" s="31" t="s">
        <v>136</v>
      </c>
      <c r="BN97" s="31">
        <v>1.2174598707434053E-3</v>
      </c>
      <c r="BO97" s="31">
        <v>2.43704293127919E-3</v>
      </c>
      <c r="BP97" s="32">
        <v>4.8398894841025237E-3</v>
      </c>
      <c r="BQ97" s="31">
        <v>1.5780661324978129E-2</v>
      </c>
      <c r="BR97" s="31">
        <v>1.6352924315788317E-2</v>
      </c>
      <c r="BS97" s="31">
        <v>1.8464743916288544E-3</v>
      </c>
      <c r="BT97" s="31">
        <v>2.3541359004692519E-3</v>
      </c>
      <c r="BU97" s="31">
        <v>5.5168732824522164E-3</v>
      </c>
      <c r="BV97" s="31">
        <v>1.2035976085548589E-2</v>
      </c>
      <c r="BW97" s="31">
        <v>2.5493823233610505E-2</v>
      </c>
      <c r="BX97" s="31">
        <v>3.8282740108372404E-3</v>
      </c>
      <c r="BY97" s="31">
        <v>1.053033961521058E-2</v>
      </c>
      <c r="BZ97" s="31">
        <v>5.143415565309192E-3</v>
      </c>
      <c r="CA97" s="31">
        <v>9.8431893137611182E-3</v>
      </c>
      <c r="CB97" s="31">
        <v>1.4525919618285157E-2</v>
      </c>
      <c r="CC97" s="31">
        <v>4.0586940313624012E-3</v>
      </c>
      <c r="CD97" s="31">
        <v>2.0874334617415093E-2</v>
      </c>
      <c r="CE97" s="31" t="s">
        <v>136</v>
      </c>
      <c r="CF97" s="31">
        <v>4.1576156089032411E-3</v>
      </c>
      <c r="CG97" s="32">
        <v>3.6208997227735939E-3</v>
      </c>
    </row>
    <row r="98" spans="1:182" x14ac:dyDescent="0.3">
      <c r="A98" s="30" t="s">
        <v>160</v>
      </c>
      <c r="B98" s="31">
        <v>1.5257798852390922</v>
      </c>
      <c r="C98" s="31">
        <v>1.0681248759858806</v>
      </c>
      <c r="D98" s="31">
        <v>0.18594513390952105</v>
      </c>
      <c r="E98" s="31">
        <v>0.34426418215169335</v>
      </c>
      <c r="F98" s="31">
        <v>1.1853825305451988</v>
      </c>
      <c r="G98" s="31">
        <v>0.58725205075163911</v>
      </c>
      <c r="H98" s="31">
        <v>2.2929396474090669</v>
      </c>
      <c r="I98" s="31">
        <v>0.57758582539372783</v>
      </c>
      <c r="J98" s="31">
        <v>5.6835539855196442E-4</v>
      </c>
      <c r="K98" s="31">
        <v>0.81824164963479762</v>
      </c>
      <c r="L98" s="31">
        <v>0.29786278538357702</v>
      </c>
      <c r="M98" s="31">
        <v>0.33334063907148948</v>
      </c>
      <c r="N98" s="31">
        <v>0.20296958415209693</v>
      </c>
      <c r="O98" s="31">
        <v>0.34030319790416635</v>
      </c>
      <c r="P98" s="31">
        <v>3.3869130196320936E-2</v>
      </c>
      <c r="Q98" s="31">
        <v>3.180087471061778E-2</v>
      </c>
      <c r="R98" s="31">
        <v>0.67176233443042654</v>
      </c>
      <c r="S98" s="31">
        <v>0.66385241705995857</v>
      </c>
      <c r="T98" s="31">
        <v>1.1949674442905804</v>
      </c>
      <c r="U98" s="31">
        <v>0.88689868947148154</v>
      </c>
      <c r="V98" s="31">
        <v>0.68778986654652141</v>
      </c>
      <c r="W98" s="31">
        <v>8.7326246459262524</v>
      </c>
      <c r="X98" s="31">
        <v>0.74887735090966323</v>
      </c>
      <c r="Y98" s="31">
        <v>0.58321518126353256</v>
      </c>
      <c r="Z98" s="31">
        <v>0.43804857420389676</v>
      </c>
      <c r="AA98" s="31">
        <v>0.43801538760323683</v>
      </c>
      <c r="AB98" s="31">
        <v>0.28679657269773473</v>
      </c>
      <c r="AC98" s="31">
        <v>0.26294982507690651</v>
      </c>
      <c r="AD98" s="31">
        <v>0.54353439935938097</v>
      </c>
      <c r="AE98" s="31">
        <v>1.2434489412475866</v>
      </c>
      <c r="AF98" s="31">
        <v>0.49367460134033564</v>
      </c>
      <c r="AG98" s="31">
        <v>1.2149954702295163</v>
      </c>
      <c r="AH98" s="31">
        <v>0.63052358530359587</v>
      </c>
      <c r="AI98" s="32"/>
      <c r="AJ98" s="31"/>
      <c r="AK98" s="31">
        <v>0.33604712672449788</v>
      </c>
      <c r="AL98" s="31">
        <v>0.22005762043584506</v>
      </c>
      <c r="AM98" s="31">
        <v>1.8528832847135534E-2</v>
      </c>
      <c r="AN98" s="31">
        <v>0.23623686150643058</v>
      </c>
      <c r="AO98" s="31">
        <v>0.17246420114701991</v>
      </c>
      <c r="AP98" s="31">
        <v>0.36729482297107557</v>
      </c>
      <c r="AQ98" s="31">
        <v>0.26119324407413852</v>
      </c>
      <c r="AR98" s="31">
        <v>0.50919903816364764</v>
      </c>
      <c r="AS98" s="31">
        <v>0.46991331686224536</v>
      </c>
      <c r="AT98" s="31">
        <v>0.82377689047834923</v>
      </c>
      <c r="AU98" s="31">
        <v>6.0998230305560501E-2</v>
      </c>
      <c r="AV98" s="31">
        <v>0.15762404022187379</v>
      </c>
      <c r="AW98" s="31">
        <v>5.6233695637239546E-2</v>
      </c>
      <c r="AX98" s="31">
        <v>6.4572787389330144E-2</v>
      </c>
      <c r="AY98" s="31">
        <v>0.21272552941150022</v>
      </c>
      <c r="AZ98" s="31">
        <v>0.31836373120530004</v>
      </c>
      <c r="BA98" s="31">
        <v>5.7598496590583121E-4</v>
      </c>
      <c r="BB98" s="31">
        <v>5.9616614573221968E-2</v>
      </c>
      <c r="BC98" s="31">
        <v>0.31448180393818198</v>
      </c>
      <c r="BD98" s="31">
        <v>0.87288609472604251</v>
      </c>
      <c r="BE98" s="31"/>
      <c r="BF98" s="31">
        <v>1.1773977114145351</v>
      </c>
      <c r="BG98" s="31">
        <v>0.72677099431952152</v>
      </c>
      <c r="BH98" s="31">
        <v>0.12738784273648035</v>
      </c>
      <c r="BI98" s="31">
        <v>0.50213907791782009</v>
      </c>
      <c r="BJ98" s="31">
        <v>0.73948557446481167</v>
      </c>
      <c r="BK98" s="31">
        <v>0.95284866928461542</v>
      </c>
      <c r="BL98" s="31">
        <v>1.5604199983271625</v>
      </c>
      <c r="BM98" s="31">
        <v>5.1903887811255325E-4</v>
      </c>
      <c r="BN98" s="31">
        <v>0.11180591107440509</v>
      </c>
      <c r="BO98" s="31">
        <v>3.846003530490813E-2</v>
      </c>
      <c r="BP98" s="32">
        <v>5.7485091271162109E-2</v>
      </c>
      <c r="BQ98" s="31">
        <v>2.546033550450967</v>
      </c>
      <c r="BR98" s="31">
        <v>4.7649301576324978</v>
      </c>
      <c r="BS98" s="31">
        <v>0.40447078200434622</v>
      </c>
      <c r="BT98" s="31">
        <v>0.20643285870492789</v>
      </c>
      <c r="BU98" s="31">
        <v>9.3032464700360489</v>
      </c>
      <c r="BV98" s="31">
        <v>1.2928817785338687</v>
      </c>
      <c r="BW98" s="31">
        <v>2.8608113652460498</v>
      </c>
      <c r="BX98" s="31">
        <v>0.48348918395499441</v>
      </c>
      <c r="BY98" s="31">
        <v>0.27678871503027852</v>
      </c>
      <c r="BZ98" s="31">
        <v>0.2786302565173247</v>
      </c>
      <c r="CA98" s="31">
        <v>0.91742969470752977</v>
      </c>
      <c r="CB98" s="31">
        <v>0.53419755319272022</v>
      </c>
      <c r="CC98" s="31">
        <v>1.7829273907086138</v>
      </c>
      <c r="CD98" s="31">
        <v>2.3297470564298473E-2</v>
      </c>
      <c r="CE98" s="31">
        <v>1.0742090666163917</v>
      </c>
      <c r="CF98" s="31">
        <v>0.13667926372933217</v>
      </c>
      <c r="CG98" s="32">
        <v>0.14787620731321163</v>
      </c>
    </row>
    <row r="99" spans="1:182" x14ac:dyDescent="0.3">
      <c r="A99" s="30" t="s">
        <v>161</v>
      </c>
      <c r="B99" s="31" t="s">
        <v>136</v>
      </c>
      <c r="C99" s="31" t="s">
        <v>136</v>
      </c>
      <c r="D99" s="31" t="s">
        <v>136</v>
      </c>
      <c r="E99" s="31" t="s">
        <v>136</v>
      </c>
      <c r="F99" s="31" t="s">
        <v>136</v>
      </c>
      <c r="G99" s="31" t="s">
        <v>136</v>
      </c>
      <c r="H99" s="31" t="s">
        <v>136</v>
      </c>
      <c r="I99" s="31" t="s">
        <v>136</v>
      </c>
      <c r="J99" s="31" t="s">
        <v>136</v>
      </c>
      <c r="K99" s="31" t="s">
        <v>136</v>
      </c>
      <c r="L99" s="31" t="s">
        <v>136</v>
      </c>
      <c r="M99" s="31" t="s">
        <v>136</v>
      </c>
      <c r="N99" s="31" t="s">
        <v>136</v>
      </c>
      <c r="O99" s="31" t="s">
        <v>136</v>
      </c>
      <c r="P99" s="31" t="s">
        <v>136</v>
      </c>
      <c r="Q99" s="31" t="s">
        <v>136</v>
      </c>
      <c r="R99" s="31" t="s">
        <v>136</v>
      </c>
      <c r="S99" s="31" t="s">
        <v>136</v>
      </c>
      <c r="T99" s="31" t="s">
        <v>136</v>
      </c>
      <c r="U99" s="31" t="s">
        <v>136</v>
      </c>
      <c r="V99" s="31" t="s">
        <v>136</v>
      </c>
      <c r="W99" s="31">
        <v>1.4125960658735706E-3</v>
      </c>
      <c r="X99" s="31" t="s">
        <v>136</v>
      </c>
      <c r="Y99" s="31" t="s">
        <v>136</v>
      </c>
      <c r="Z99" s="31" t="s">
        <v>136</v>
      </c>
      <c r="AA99" s="31" t="s">
        <v>136</v>
      </c>
      <c r="AB99" s="31" t="s">
        <v>136</v>
      </c>
      <c r="AC99" s="31" t="s">
        <v>136</v>
      </c>
      <c r="AD99" s="31" t="s">
        <v>136</v>
      </c>
      <c r="AE99" s="31" t="s">
        <v>136</v>
      </c>
      <c r="AF99" s="31" t="s">
        <v>136</v>
      </c>
      <c r="AG99" s="31" t="s">
        <v>136</v>
      </c>
      <c r="AH99" s="31" t="s">
        <v>136</v>
      </c>
      <c r="AI99" s="32"/>
      <c r="AJ99" s="31"/>
      <c r="AK99" s="31" t="s">
        <v>136</v>
      </c>
      <c r="AL99" s="31">
        <v>3.229756326629127E-4</v>
      </c>
      <c r="AM99" s="31">
        <v>1.4060564009556408E-3</v>
      </c>
      <c r="AN99" s="31" t="s">
        <v>136</v>
      </c>
      <c r="AO99" s="31" t="s">
        <v>136</v>
      </c>
      <c r="AP99" s="31" t="s">
        <v>136</v>
      </c>
      <c r="AQ99" s="31" t="s">
        <v>136</v>
      </c>
      <c r="AR99" s="31" t="s">
        <v>136</v>
      </c>
      <c r="AS99" s="31" t="s">
        <v>136</v>
      </c>
      <c r="AT99" s="31" t="s">
        <v>136</v>
      </c>
      <c r="AU99" s="31" t="s">
        <v>136</v>
      </c>
      <c r="AV99" s="31" t="s">
        <v>136</v>
      </c>
      <c r="AW99" s="31" t="s">
        <v>136</v>
      </c>
      <c r="AX99" s="31" t="s">
        <v>136</v>
      </c>
      <c r="AY99" s="31" t="s">
        <v>136</v>
      </c>
      <c r="AZ99" s="31" t="s">
        <v>136</v>
      </c>
      <c r="BA99" s="31" t="s">
        <v>136</v>
      </c>
      <c r="BB99" s="31" t="s">
        <v>136</v>
      </c>
      <c r="BC99" s="31" t="s">
        <v>136</v>
      </c>
      <c r="BD99" s="31" t="s">
        <v>136</v>
      </c>
      <c r="BE99" s="31"/>
      <c r="BF99" s="31">
        <v>5.830592477736225E-4</v>
      </c>
      <c r="BG99" s="31" t="s">
        <v>136</v>
      </c>
      <c r="BH99" s="31" t="s">
        <v>136</v>
      </c>
      <c r="BI99" s="31" t="s">
        <v>136</v>
      </c>
      <c r="BJ99" s="31" t="s">
        <v>136</v>
      </c>
      <c r="BK99" s="31" t="s">
        <v>136</v>
      </c>
      <c r="BL99" s="31" t="s">
        <v>136</v>
      </c>
      <c r="BM99" s="31" t="s">
        <v>136</v>
      </c>
      <c r="BN99" s="31" t="s">
        <v>136</v>
      </c>
      <c r="BO99" s="31" t="s">
        <v>136</v>
      </c>
      <c r="BP99" s="32" t="s">
        <v>136</v>
      </c>
      <c r="BQ99" s="31" t="s">
        <v>136</v>
      </c>
      <c r="BR99" s="31" t="s">
        <v>136</v>
      </c>
      <c r="BS99" s="31" t="s">
        <v>136</v>
      </c>
      <c r="BT99" s="31" t="s">
        <v>136</v>
      </c>
      <c r="BU99" s="31">
        <v>6.1148204349267235E-4</v>
      </c>
      <c r="BV99" s="31" t="s">
        <v>136</v>
      </c>
      <c r="BW99" s="31" t="s">
        <v>136</v>
      </c>
      <c r="BX99" s="31" t="s">
        <v>136</v>
      </c>
      <c r="BY99" s="31" t="s">
        <v>136</v>
      </c>
      <c r="BZ99" s="31" t="s">
        <v>136</v>
      </c>
      <c r="CA99" s="31" t="s">
        <v>136</v>
      </c>
      <c r="CB99" s="31" t="s">
        <v>136</v>
      </c>
      <c r="CC99" s="31" t="s">
        <v>136</v>
      </c>
      <c r="CD99" s="31" t="s">
        <v>136</v>
      </c>
      <c r="CE99" s="31" t="s">
        <v>136</v>
      </c>
      <c r="CF99" s="31" t="s">
        <v>136</v>
      </c>
      <c r="CG99" s="32" t="s">
        <v>136</v>
      </c>
    </row>
    <row r="100" spans="1:182" x14ac:dyDescent="0.3">
      <c r="A100" s="30" t="s">
        <v>162</v>
      </c>
      <c r="B100" s="31">
        <v>1.3168914705647711E-2</v>
      </c>
      <c r="C100" s="31">
        <v>3.5065518278307829E-4</v>
      </c>
      <c r="D100" s="31">
        <v>8.8041424354151556E-4</v>
      </c>
      <c r="E100" s="31">
        <v>1.2991667910856838E-3</v>
      </c>
      <c r="F100" s="31">
        <v>2.5421851705314272E-4</v>
      </c>
      <c r="G100" s="31">
        <v>1.3104141021118721E-4</v>
      </c>
      <c r="H100" s="31">
        <v>1.2695546075122154E-2</v>
      </c>
      <c r="I100" s="31">
        <v>5.2611026441439345E-3</v>
      </c>
      <c r="J100" s="31">
        <v>3.8338373637267665E-4</v>
      </c>
      <c r="K100" s="31">
        <v>5.3078530656981773E-3</v>
      </c>
      <c r="L100" s="31">
        <v>2.5591901414193953E-4</v>
      </c>
      <c r="M100" s="31">
        <v>4.5870965504785956E-4</v>
      </c>
      <c r="N100" s="31">
        <v>2.027747270622313E-4</v>
      </c>
      <c r="O100" s="31">
        <v>1.9456328923667121E-4</v>
      </c>
      <c r="P100" s="31">
        <v>1.2413551936726633E-4</v>
      </c>
      <c r="Q100" s="31">
        <v>4.9015562799332958E-4</v>
      </c>
      <c r="R100" s="31">
        <v>1.639347033250678E-3</v>
      </c>
      <c r="S100" s="31">
        <v>1.5600550635719815E-3</v>
      </c>
      <c r="T100" s="31">
        <v>2.6175998928823739E-3</v>
      </c>
      <c r="U100" s="31">
        <v>1.0508388264404832E-3</v>
      </c>
      <c r="V100" s="31">
        <v>1.207987475089092E-3</v>
      </c>
      <c r="W100" s="31">
        <v>2.8352700490203906E-3</v>
      </c>
      <c r="X100" s="31">
        <v>6.5509644855438263E-4</v>
      </c>
      <c r="Y100" s="31">
        <v>2.1488337678385365E-4</v>
      </c>
      <c r="Z100" s="31">
        <v>1.1668114432423159E-3</v>
      </c>
      <c r="AA100" s="31">
        <v>3.8743106276380155E-3</v>
      </c>
      <c r="AB100" s="31">
        <v>3.5818095001223114E-4</v>
      </c>
      <c r="AC100" s="31">
        <v>1.4375065696968219E-3</v>
      </c>
      <c r="AD100" s="31">
        <v>7.2081600935113498E-4</v>
      </c>
      <c r="AE100" s="31">
        <v>2.6052264355576503E-3</v>
      </c>
      <c r="AF100" s="31">
        <v>1.5743043902613022E-4</v>
      </c>
      <c r="AG100" s="31">
        <v>2.1679601033936232E-4</v>
      </c>
      <c r="AH100" s="31">
        <v>3.6011299628466911E-3</v>
      </c>
      <c r="AI100" s="32"/>
      <c r="AJ100" s="31"/>
      <c r="AK100" s="31">
        <v>1.1225745555064988E-4</v>
      </c>
      <c r="AL100" s="31">
        <v>1.1202197452012113E-3</v>
      </c>
      <c r="AM100" s="31">
        <v>2.4737166199379052E-3</v>
      </c>
      <c r="AN100" s="31">
        <v>1.4422479289729004E-4</v>
      </c>
      <c r="AO100" s="31">
        <v>1.2131400286358537E-4</v>
      </c>
      <c r="AP100" s="31">
        <v>4.0491478661656765E-4</v>
      </c>
      <c r="AQ100" s="31">
        <v>1.8123656661027219E-4</v>
      </c>
      <c r="AR100" s="31">
        <v>2.2420002207854581E-4</v>
      </c>
      <c r="AS100" s="31">
        <v>1.4306288086329778E-3</v>
      </c>
      <c r="AT100" s="31">
        <v>5.7635308875573338E-4</v>
      </c>
      <c r="AU100" s="31">
        <v>8.8228194461169602E-5</v>
      </c>
      <c r="AV100" s="31">
        <v>5.8855483534209354E-5</v>
      </c>
      <c r="AW100" s="31">
        <v>4.5736298444538082E-5</v>
      </c>
      <c r="AX100" s="31">
        <v>2.7398995117636194E-4</v>
      </c>
      <c r="AY100" s="31">
        <v>1.1930637764585347E-3</v>
      </c>
      <c r="AZ100" s="31">
        <v>1.4052169410528229E-4</v>
      </c>
      <c r="BA100" s="31">
        <v>8.4982276970057636E-4</v>
      </c>
      <c r="BB100" s="31">
        <v>8.416831855554224E-5</v>
      </c>
      <c r="BC100" s="31">
        <v>1.7445487827439261E-4</v>
      </c>
      <c r="BD100" s="31">
        <v>6.3617394036751202E-4</v>
      </c>
      <c r="BE100" s="31"/>
      <c r="BF100" s="31">
        <v>1.901003116902202E-4</v>
      </c>
      <c r="BG100" s="31">
        <v>6.490329011291237E-5</v>
      </c>
      <c r="BH100" s="31">
        <v>1.0051548947001305E-4</v>
      </c>
      <c r="BI100" s="31">
        <v>1.6981861131556319E-4</v>
      </c>
      <c r="BJ100" s="31">
        <v>6.4995032591588721E-4</v>
      </c>
      <c r="BK100" s="31">
        <v>2.7605358987840079E-3</v>
      </c>
      <c r="BL100" s="31">
        <v>8.1983982607108929E-4</v>
      </c>
      <c r="BM100" s="31">
        <v>1.739259072873098E-4</v>
      </c>
      <c r="BN100" s="31">
        <v>7.0766875687871574E-5</v>
      </c>
      <c r="BO100" s="31">
        <v>4.9282070851508659E-4</v>
      </c>
      <c r="BP100" s="32">
        <v>1.0338072264978188E-4</v>
      </c>
      <c r="BQ100" s="31">
        <v>3.0169109747575262E-2</v>
      </c>
      <c r="BR100" s="31">
        <v>2.8832043240825944E-2</v>
      </c>
      <c r="BS100" s="31">
        <v>5.4502455987344399E-3</v>
      </c>
      <c r="BT100" s="31">
        <v>2.7477399186441901E-3</v>
      </c>
      <c r="BU100" s="31">
        <v>5.0348300863941838E-4</v>
      </c>
      <c r="BV100" s="31">
        <v>1.484792935984683E-2</v>
      </c>
      <c r="BW100" s="31">
        <v>2.1319375700716698E-2</v>
      </c>
      <c r="BX100" s="31">
        <v>1.5025867904185277E-3</v>
      </c>
      <c r="BY100" s="31">
        <v>2.3883594586398544E-3</v>
      </c>
      <c r="BZ100" s="31">
        <v>1.2616131535278951E-2</v>
      </c>
      <c r="CA100" s="31">
        <v>1.6216135153351022E-2</v>
      </c>
      <c r="CB100" s="31">
        <v>5.8418062444586406E-3</v>
      </c>
      <c r="CC100" s="31">
        <v>4.3930106574606373E-3</v>
      </c>
      <c r="CD100" s="31">
        <v>3.145290907710685E-2</v>
      </c>
      <c r="CE100" s="31">
        <v>3.6904764081172499E-2</v>
      </c>
      <c r="CF100" s="31">
        <v>6.2248299100263211E-4</v>
      </c>
      <c r="CG100" s="32">
        <v>1.3761985830093554E-2</v>
      </c>
    </row>
    <row r="101" spans="1:182" x14ac:dyDescent="0.3">
      <c r="A101" s="30" t="s">
        <v>163</v>
      </c>
      <c r="B101" s="31" t="s">
        <v>136</v>
      </c>
      <c r="C101" s="31" t="s">
        <v>136</v>
      </c>
      <c r="D101" s="31">
        <v>4.6772505532457901E-4</v>
      </c>
      <c r="E101" s="31" t="s">
        <v>136</v>
      </c>
      <c r="F101" s="31" t="s">
        <v>136</v>
      </c>
      <c r="G101" s="31" t="s">
        <v>136</v>
      </c>
      <c r="H101" s="31" t="s">
        <v>136</v>
      </c>
      <c r="I101" s="31" t="s">
        <v>136</v>
      </c>
      <c r="J101" s="31">
        <v>7.6108966492640867E-5</v>
      </c>
      <c r="K101" s="31" t="s">
        <v>136</v>
      </c>
      <c r="L101" s="31">
        <v>4.4414794776078168E-4</v>
      </c>
      <c r="M101" s="31">
        <v>6.9791296599801592E-4</v>
      </c>
      <c r="N101" s="31" t="s">
        <v>136</v>
      </c>
      <c r="O101" s="31" t="s">
        <v>136</v>
      </c>
      <c r="P101" s="31">
        <v>8.7802456274034936E-5</v>
      </c>
      <c r="Q101" s="31">
        <v>4.5762629032699529E-4</v>
      </c>
      <c r="R101" s="31">
        <v>2.3663576001400105E-3</v>
      </c>
      <c r="S101" s="31" t="s">
        <v>136</v>
      </c>
      <c r="T101" s="31">
        <v>9.9040231685626288E-3</v>
      </c>
      <c r="U101" s="31">
        <v>1.6456414819426498E-3</v>
      </c>
      <c r="V101" s="31">
        <v>7.814466920883198E-4</v>
      </c>
      <c r="W101" s="31">
        <v>2.4666897814451028E-3</v>
      </c>
      <c r="X101" s="31" t="s">
        <v>136</v>
      </c>
      <c r="Y101" s="31">
        <v>9.7000760734808952E-4</v>
      </c>
      <c r="Z101" s="31">
        <v>2.0729937534010964E-4</v>
      </c>
      <c r="AA101" s="31" t="s">
        <v>136</v>
      </c>
      <c r="AB101" s="31">
        <v>3.9753750257167015E-4</v>
      </c>
      <c r="AC101" s="31">
        <v>4.9044557362715614E-4</v>
      </c>
      <c r="AD101" s="31">
        <v>3.8643100056658716E-4</v>
      </c>
      <c r="AE101" s="31">
        <v>1.5162704989237202E-3</v>
      </c>
      <c r="AF101" s="31">
        <v>5.7090920478702412E-4</v>
      </c>
      <c r="AG101" s="31">
        <v>1.5604070625176735E-3</v>
      </c>
      <c r="AH101" s="31" t="s">
        <v>136</v>
      </c>
      <c r="AI101" s="32"/>
      <c r="AJ101" s="31"/>
      <c r="AK101" s="31" t="s">
        <v>136</v>
      </c>
      <c r="AL101" s="31" t="s">
        <v>136</v>
      </c>
      <c r="AM101" s="31">
        <v>7.4870327606222677E-4</v>
      </c>
      <c r="AN101" s="31" t="s">
        <v>136</v>
      </c>
      <c r="AO101" s="31" t="s">
        <v>136</v>
      </c>
      <c r="AP101" s="31" t="s">
        <v>136</v>
      </c>
      <c r="AQ101" s="31" t="s">
        <v>136</v>
      </c>
      <c r="AR101" s="31" t="s">
        <v>136</v>
      </c>
      <c r="AS101" s="31" t="s">
        <v>136</v>
      </c>
      <c r="AT101" s="31" t="s">
        <v>136</v>
      </c>
      <c r="AU101" s="31" t="s">
        <v>136</v>
      </c>
      <c r="AV101" s="31" t="s">
        <v>136</v>
      </c>
      <c r="AW101" s="31" t="s">
        <v>136</v>
      </c>
      <c r="AX101" s="31" t="s">
        <v>136</v>
      </c>
      <c r="AY101" s="31" t="s">
        <v>136</v>
      </c>
      <c r="AZ101" s="31" t="s">
        <v>136</v>
      </c>
      <c r="BA101" s="31" t="s">
        <v>136</v>
      </c>
      <c r="BB101" s="31" t="s">
        <v>136</v>
      </c>
      <c r="BC101" s="31">
        <v>1.3061925235586071E-4</v>
      </c>
      <c r="BD101" s="31" t="s">
        <v>136</v>
      </c>
      <c r="BE101" s="31"/>
      <c r="BF101" s="31" t="s">
        <v>136</v>
      </c>
      <c r="BG101" s="31" t="s">
        <v>136</v>
      </c>
      <c r="BH101" s="31" t="s">
        <v>136</v>
      </c>
      <c r="BI101" s="31" t="s">
        <v>136</v>
      </c>
      <c r="BJ101" s="31" t="s">
        <v>136</v>
      </c>
      <c r="BK101" s="31" t="s">
        <v>136</v>
      </c>
      <c r="BL101" s="31" t="s">
        <v>136</v>
      </c>
      <c r="BM101" s="31" t="s">
        <v>136</v>
      </c>
      <c r="BN101" s="31" t="s">
        <v>136</v>
      </c>
      <c r="BO101" s="31" t="s">
        <v>136</v>
      </c>
      <c r="BP101" s="32">
        <v>7.4252953859211233E-4</v>
      </c>
      <c r="BQ101" s="31" t="s">
        <v>136</v>
      </c>
      <c r="BR101" s="31" t="s">
        <v>136</v>
      </c>
      <c r="BS101" s="31">
        <v>1.5545790897062259E-3</v>
      </c>
      <c r="BT101" s="31" t="s">
        <v>136</v>
      </c>
      <c r="BU101" s="31">
        <v>6.8168879821114154E-3</v>
      </c>
      <c r="BV101" s="31" t="s">
        <v>136</v>
      </c>
      <c r="BW101" s="31">
        <v>1.9993841617203822E-3</v>
      </c>
      <c r="BX101" s="31" t="s">
        <v>136</v>
      </c>
      <c r="BY101" s="31" t="s">
        <v>136</v>
      </c>
      <c r="BZ101" s="31" t="s">
        <v>136</v>
      </c>
      <c r="CA101" s="31">
        <v>7.1082675919746947E-3</v>
      </c>
      <c r="CB101" s="31">
        <v>8.1261085135572448E-4</v>
      </c>
      <c r="CC101" s="31">
        <v>2.3594786278688198E-3</v>
      </c>
      <c r="CD101" s="31">
        <v>1.5931909607857675E-2</v>
      </c>
      <c r="CE101" s="31">
        <v>1.1954433589468403E-2</v>
      </c>
      <c r="CF101" s="31" t="s">
        <v>136</v>
      </c>
      <c r="CG101" s="32">
        <v>2.9829144893801438E-3</v>
      </c>
    </row>
    <row r="102" spans="1:182" x14ac:dyDescent="0.3">
      <c r="A102" s="30" t="s">
        <v>164</v>
      </c>
      <c r="B102" s="31" t="s">
        <v>136</v>
      </c>
      <c r="C102" s="31">
        <v>0.10929350128665767</v>
      </c>
      <c r="D102" s="31">
        <v>3.7269773501730719E-2</v>
      </c>
      <c r="E102" s="31">
        <v>3.5754896551177126E-2</v>
      </c>
      <c r="F102" s="31">
        <v>7.7082061152679709E-2</v>
      </c>
      <c r="G102" s="31">
        <v>5.8244012595814507E-2</v>
      </c>
      <c r="H102" s="31">
        <v>0.37826883549917717</v>
      </c>
      <c r="I102" s="31">
        <v>0.22983346193480683</v>
      </c>
      <c r="J102" s="31">
        <v>9.2436671500242205E-5</v>
      </c>
      <c r="K102" s="31">
        <v>0.23708300385463965</v>
      </c>
      <c r="L102" s="31">
        <v>8.2202715798082165E-2</v>
      </c>
      <c r="M102" s="31">
        <v>0.10288066174422797</v>
      </c>
      <c r="N102" s="31">
        <v>3.4284430690631681E-2</v>
      </c>
      <c r="O102" s="31">
        <v>7.005001207742495E-2</v>
      </c>
      <c r="P102" s="31">
        <v>5.7208094624274508E-2</v>
      </c>
      <c r="Q102" s="31">
        <v>1.3091260527422261E-2</v>
      </c>
      <c r="R102" s="31">
        <v>0.21418066936103808</v>
      </c>
      <c r="S102" s="31">
        <v>9.3803695647317969E-2</v>
      </c>
      <c r="T102" s="31">
        <v>0.21211396374899796</v>
      </c>
      <c r="U102" s="31">
        <v>0.22746591353810502</v>
      </c>
      <c r="V102" s="31">
        <v>9.8819658532385349E-2</v>
      </c>
      <c r="W102" s="31">
        <v>0.28464917573078213</v>
      </c>
      <c r="X102" s="31">
        <v>5.630341803353673E-2</v>
      </c>
      <c r="Y102" s="31">
        <v>3.4980511315521337E-2</v>
      </c>
      <c r="Z102" s="31">
        <v>0.19868593327481585</v>
      </c>
      <c r="AA102" s="31">
        <v>0.14918249754248289</v>
      </c>
      <c r="AB102" s="31">
        <v>7.8438101814446465E-2</v>
      </c>
      <c r="AC102" s="31">
        <v>0.16731503684430279</v>
      </c>
      <c r="AD102" s="31">
        <v>9.0058267562149644E-2</v>
      </c>
      <c r="AE102" s="31">
        <v>0.24778633030447647</v>
      </c>
      <c r="AF102" s="31">
        <v>4.6506539373535827E-2</v>
      </c>
      <c r="AG102" s="31">
        <v>7.6491850680461007E-2</v>
      </c>
      <c r="AH102" s="31">
        <v>7.2431271651980822E-2</v>
      </c>
      <c r="AI102" s="32"/>
      <c r="AJ102" s="31"/>
      <c r="AK102" s="31">
        <v>4.1999624122615396E-2</v>
      </c>
      <c r="AL102" s="31">
        <v>0.14357397717645329</v>
      </c>
      <c r="AM102" s="31">
        <v>1.366683817734907E-2</v>
      </c>
      <c r="AN102" s="31">
        <v>1.923052514062476E-2</v>
      </c>
      <c r="AO102" s="31">
        <v>4.8311459660880504E-2</v>
      </c>
      <c r="AP102" s="31">
        <v>9.627811518594305E-2</v>
      </c>
      <c r="AQ102" s="31">
        <v>4.5861238939895445E-2</v>
      </c>
      <c r="AR102" s="31">
        <v>0.14732940034443678</v>
      </c>
      <c r="AS102" s="31">
        <v>0.18682389873932265</v>
      </c>
      <c r="AT102" s="31">
        <v>0.24528657909637727</v>
      </c>
      <c r="AU102" s="31">
        <v>2.2468784305750979E-2</v>
      </c>
      <c r="AV102" s="31">
        <v>1.6923035983437851E-2</v>
      </c>
      <c r="AW102" s="31">
        <v>9.3843850241631822E-3</v>
      </c>
      <c r="AX102" s="31">
        <v>1.5629020822869186E-2</v>
      </c>
      <c r="AY102" s="31">
        <v>2.4427801073150197E-2</v>
      </c>
      <c r="AZ102" s="31">
        <v>5.3510286623066207E-2</v>
      </c>
      <c r="BA102" s="31">
        <v>7.7160100633854017E-4</v>
      </c>
      <c r="BB102" s="31">
        <v>5.4992666229502565E-2</v>
      </c>
      <c r="BC102" s="31">
        <v>5.1856838422484862E-2</v>
      </c>
      <c r="BD102" s="31">
        <v>0.27456202749814229</v>
      </c>
      <c r="BE102" s="31"/>
      <c r="BF102" s="31">
        <v>0.11406480891393823</v>
      </c>
      <c r="BG102" s="31">
        <v>3.7622445725654256E-2</v>
      </c>
      <c r="BH102" s="31">
        <v>1.8179108020131431E-2</v>
      </c>
      <c r="BI102" s="31">
        <v>6.8158093828358676E-2</v>
      </c>
      <c r="BJ102" s="31">
        <v>0.17227437101455137</v>
      </c>
      <c r="BK102" s="31">
        <v>9.9070892930600132E-2</v>
      </c>
      <c r="BL102" s="31">
        <v>0.66446140919790719</v>
      </c>
      <c r="BM102" s="31" t="s">
        <v>136</v>
      </c>
      <c r="BN102" s="31">
        <v>2.4208801552541258E-2</v>
      </c>
      <c r="BO102" s="31">
        <v>2.5888440226363035E-2</v>
      </c>
      <c r="BP102" s="32">
        <v>2.5291551151655059E-2</v>
      </c>
      <c r="BQ102" s="31">
        <v>0.28152119222463962</v>
      </c>
      <c r="BR102" s="31">
        <v>0.35187948864409924</v>
      </c>
      <c r="BS102" s="31">
        <v>2.2346480288128707E-2</v>
      </c>
      <c r="BT102" s="31">
        <v>2.2412907504111776E-2</v>
      </c>
      <c r="BU102" s="31">
        <v>0.53789538538342418</v>
      </c>
      <c r="BV102" s="31">
        <v>0.1831155077550429</v>
      </c>
      <c r="BW102" s="31">
        <v>0.21143839081448376</v>
      </c>
      <c r="BX102" s="31">
        <v>1.8298340097308942E-2</v>
      </c>
      <c r="BY102" s="31">
        <v>5.2477094536998684E-2</v>
      </c>
      <c r="BZ102" s="31">
        <v>4.227750426653018E-2</v>
      </c>
      <c r="CA102" s="31">
        <v>0.11594183860650388</v>
      </c>
      <c r="CB102" s="31">
        <v>0.10346693596843697</v>
      </c>
      <c r="CC102" s="31">
        <v>2.8726809055804665E-2</v>
      </c>
      <c r="CD102" s="31">
        <v>3.2144313566590733E-2</v>
      </c>
      <c r="CE102" s="31">
        <v>7.9670492740757937E-2</v>
      </c>
      <c r="CF102" s="31">
        <v>2.0096152379389994E-2</v>
      </c>
      <c r="CG102" s="32">
        <v>1.9156453670444641E-2</v>
      </c>
    </row>
    <row r="103" spans="1:182" x14ac:dyDescent="0.3">
      <c r="A103" s="30" t="s">
        <v>165</v>
      </c>
      <c r="B103" s="31">
        <v>9.2128407674397741E-2</v>
      </c>
      <c r="C103" s="31" t="s">
        <v>136</v>
      </c>
      <c r="D103" s="31">
        <v>6.0620909293467203E-4</v>
      </c>
      <c r="E103" s="31">
        <v>6.6096017700196024E-3</v>
      </c>
      <c r="F103" s="31" t="s">
        <v>136</v>
      </c>
      <c r="G103" s="31" t="s">
        <v>136</v>
      </c>
      <c r="H103" s="31">
        <v>7.3979253025208302E-2</v>
      </c>
      <c r="I103" s="31">
        <v>1.8912458756159229E-2</v>
      </c>
      <c r="J103" s="31">
        <v>5.8701561051966204E-4</v>
      </c>
      <c r="K103" s="31">
        <v>1.5160616227084808E-2</v>
      </c>
      <c r="L103" s="31">
        <v>1.7267804051098755E-4</v>
      </c>
      <c r="M103" s="31">
        <v>1.7553895831154808E-4</v>
      </c>
      <c r="N103" s="31" t="s">
        <v>136</v>
      </c>
      <c r="O103" s="31">
        <v>4.1207997063811338E-4</v>
      </c>
      <c r="P103" s="31" t="s">
        <v>136</v>
      </c>
      <c r="Q103" s="31">
        <v>3.897912795115032E-4</v>
      </c>
      <c r="R103" s="31">
        <v>3.3363876101394542E-4</v>
      </c>
      <c r="S103" s="31">
        <v>9.2121676251654318E-3</v>
      </c>
      <c r="T103" s="31" t="s">
        <v>136</v>
      </c>
      <c r="U103" s="31" t="s">
        <v>136</v>
      </c>
      <c r="V103" s="31">
        <v>1.8259564754912389E-3</v>
      </c>
      <c r="W103" s="31">
        <v>5.5680316952676336E-3</v>
      </c>
      <c r="X103" s="31">
        <v>2.7735902539115483E-3</v>
      </c>
      <c r="Y103" s="31">
        <v>3.1907722529145893E-5</v>
      </c>
      <c r="Z103" s="31">
        <v>2.7493014377164097E-4</v>
      </c>
      <c r="AA103" s="31">
        <v>2.0719674373326342E-2</v>
      </c>
      <c r="AB103" s="31" t="s">
        <v>136</v>
      </c>
      <c r="AC103" s="31" t="s">
        <v>136</v>
      </c>
      <c r="AD103" s="31" t="s">
        <v>136</v>
      </c>
      <c r="AE103" s="31">
        <v>3.0402238675462636E-4</v>
      </c>
      <c r="AF103" s="31" t="s">
        <v>136</v>
      </c>
      <c r="AG103" s="31" t="s">
        <v>136</v>
      </c>
      <c r="AH103" s="31">
        <v>1.255606480887303E-2</v>
      </c>
      <c r="AI103" s="32"/>
      <c r="AJ103" s="31"/>
      <c r="AK103" s="31">
        <v>9.064956098988247E-5</v>
      </c>
      <c r="AL103" s="31">
        <v>9.4134762567606189E-4</v>
      </c>
      <c r="AM103" s="31">
        <v>1.7432330340748643E-3</v>
      </c>
      <c r="AN103" s="31">
        <v>8.2127649423993643E-4</v>
      </c>
      <c r="AO103" s="31">
        <v>1.7658889468528895E-4</v>
      </c>
      <c r="AP103" s="31">
        <v>1.6623782603763535E-3</v>
      </c>
      <c r="AQ103" s="31">
        <v>9.6992496601767042E-5</v>
      </c>
      <c r="AR103" s="31">
        <v>9.1085860418031316E-4</v>
      </c>
      <c r="AS103" s="31">
        <v>7.7261090641057969E-4</v>
      </c>
      <c r="AT103" s="31">
        <v>4.6159179505021232E-4</v>
      </c>
      <c r="AU103" s="31">
        <v>2.5405673345439835E-4</v>
      </c>
      <c r="AV103" s="31">
        <v>3.8531969971801065E-4</v>
      </c>
      <c r="AW103" s="31">
        <v>2.6290031728561287E-4</v>
      </c>
      <c r="AX103" s="31">
        <v>8.1392963840870488E-5</v>
      </c>
      <c r="AY103" s="31">
        <v>1.4688003422696523E-4</v>
      </c>
      <c r="AZ103" s="31">
        <v>7.7550461237742253E-4</v>
      </c>
      <c r="BA103" s="31">
        <v>6.0807956538049175E-4</v>
      </c>
      <c r="BB103" s="31">
        <v>3.9031632115997349E-4</v>
      </c>
      <c r="BC103" s="31">
        <v>5.9983529445835674E-4</v>
      </c>
      <c r="BD103" s="31">
        <v>7.6550041124531895E-4</v>
      </c>
      <c r="BE103" s="31"/>
      <c r="BF103" s="31">
        <v>6.0337734756640892E-4</v>
      </c>
      <c r="BG103" s="31">
        <v>1.9104246251848534E-4</v>
      </c>
      <c r="BH103" s="31">
        <v>7.6711013586488682E-5</v>
      </c>
      <c r="BI103" s="31">
        <v>1.8126750687936556E-4</v>
      </c>
      <c r="BJ103" s="31">
        <v>7.4380788329342785E-4</v>
      </c>
      <c r="BK103" s="31">
        <v>6.348427944315205E-4</v>
      </c>
      <c r="BL103" s="31">
        <v>1.7437464519257191E-3</v>
      </c>
      <c r="BM103" s="31">
        <v>2.9733628121314098E-4</v>
      </c>
      <c r="BN103" s="31">
        <v>1.3615944093232105E-4</v>
      </c>
      <c r="BO103" s="31">
        <v>1.981953508614766E-3</v>
      </c>
      <c r="BP103" s="32">
        <v>8.2179046707457401E-5</v>
      </c>
      <c r="BQ103" s="31">
        <v>2.7617792934810669E-3</v>
      </c>
      <c r="BR103" s="31">
        <v>2.670075005016198E-3</v>
      </c>
      <c r="BS103" s="31">
        <v>4.0915888958586587E-4</v>
      </c>
      <c r="BT103" s="31">
        <v>1.1722256372337294E-4</v>
      </c>
      <c r="BU103" s="31">
        <v>6.4809168873955925E-4</v>
      </c>
      <c r="BV103" s="31">
        <v>1.9905366113212612E-3</v>
      </c>
      <c r="BW103" s="31">
        <v>2.1277108944304566E-5</v>
      </c>
      <c r="BX103" s="31">
        <v>1.435103938997549E-4</v>
      </c>
      <c r="BY103" s="31">
        <v>5.7476944438236135E-4</v>
      </c>
      <c r="BZ103" s="31">
        <v>5.1468191760178675E-5</v>
      </c>
      <c r="CA103" s="31">
        <v>1.3905863500852291E-3</v>
      </c>
      <c r="CB103" s="31">
        <v>1.3904221881140725E-4</v>
      </c>
      <c r="CC103" s="31">
        <v>7.5177165551944388E-5</v>
      </c>
      <c r="CD103" s="31">
        <v>4.1386216255260922E-3</v>
      </c>
      <c r="CE103" s="31">
        <v>9.7582840852876024E-3</v>
      </c>
      <c r="CF103" s="31">
        <v>2.8824013081885997E-4</v>
      </c>
      <c r="CG103" s="32">
        <v>2.1305457172460275E-3</v>
      </c>
    </row>
    <row r="104" spans="1:182" x14ac:dyDescent="0.3">
      <c r="A104" s="30" t="s">
        <v>166</v>
      </c>
      <c r="B104" s="31">
        <v>0.10319942185383639</v>
      </c>
      <c r="C104" s="31">
        <v>3.8518041411702626E-4</v>
      </c>
      <c r="D104" s="31">
        <v>2.022112300430293E-3</v>
      </c>
      <c r="E104" s="31">
        <v>6.9119373605051309E-3</v>
      </c>
      <c r="F104" s="31">
        <v>1.8477592657574916E-4</v>
      </c>
      <c r="G104" s="31">
        <v>1.7459772464702275E-4</v>
      </c>
      <c r="H104" s="31">
        <v>8.5613235368343699E-2</v>
      </c>
      <c r="I104" s="31">
        <v>1.9853853499117079E-2</v>
      </c>
      <c r="J104" s="31">
        <v>1.0970025725821374E-3</v>
      </c>
      <c r="K104" s="31">
        <v>1.630492893796661E-2</v>
      </c>
      <c r="L104" s="31">
        <v>6.0614033747994256E-4</v>
      </c>
      <c r="M104" s="31">
        <v>9.3262950708742709E-4</v>
      </c>
      <c r="N104" s="31">
        <v>4.1523620115366358E-4</v>
      </c>
      <c r="O104" s="31">
        <v>8.110721962669154E-4</v>
      </c>
      <c r="P104" s="31">
        <v>3.0703829128892206E-4</v>
      </c>
      <c r="Q104" s="31">
        <v>8.4896871730513756E-4</v>
      </c>
      <c r="R104" s="31">
        <v>1.6459437909727619E-3</v>
      </c>
      <c r="S104" s="31">
        <v>1.0476133674778322E-2</v>
      </c>
      <c r="T104" s="31">
        <v>2.8274636478691361E-3</v>
      </c>
      <c r="U104" s="31">
        <v>1.1609141737008422E-3</v>
      </c>
      <c r="V104" s="31">
        <v>4.0049453032898977E-3</v>
      </c>
      <c r="W104" s="31">
        <v>5.5306940952842545E-3</v>
      </c>
      <c r="X104" s="31">
        <v>3.2910595207933865E-3</v>
      </c>
      <c r="Y104" s="31">
        <v>4.009297126435773E-4</v>
      </c>
      <c r="Z104" s="31">
        <v>1.5800191734678677E-3</v>
      </c>
      <c r="AA104" s="31">
        <v>2.2168511644768348E-2</v>
      </c>
      <c r="AB104" s="31">
        <v>2.7491549761022172E-4</v>
      </c>
      <c r="AC104" s="31">
        <v>5.8282948700443611E-4</v>
      </c>
      <c r="AD104" s="31">
        <v>3.1977778579496402E-4</v>
      </c>
      <c r="AE104" s="31">
        <v>1.656598048836949E-3</v>
      </c>
      <c r="AF104" s="31" t="s">
        <v>136</v>
      </c>
      <c r="AG104" s="31">
        <v>1.0533238405902415E-5</v>
      </c>
      <c r="AH104" s="31">
        <v>1.5013157764599118E-2</v>
      </c>
      <c r="AI104" s="32"/>
      <c r="AJ104" s="31"/>
      <c r="AK104" s="31">
        <v>3.050883173100327E-4</v>
      </c>
      <c r="AL104" s="31">
        <v>6.2029474433535157E-4</v>
      </c>
      <c r="AM104" s="31">
        <v>2.7923479207251399E-3</v>
      </c>
      <c r="AN104" s="31">
        <v>5.9472862511057505E-4</v>
      </c>
      <c r="AO104" s="31">
        <v>4.6341809548517538E-4</v>
      </c>
      <c r="AP104" s="31">
        <v>1.1712895483984916E-3</v>
      </c>
      <c r="AQ104" s="31">
        <v>3.5920665694577744E-4</v>
      </c>
      <c r="AR104" s="31">
        <v>8.0168092183418888E-4</v>
      </c>
      <c r="AS104" s="31">
        <v>1.7078509086354647E-3</v>
      </c>
      <c r="AT104" s="31">
        <v>1.0144341863644593E-3</v>
      </c>
      <c r="AU104" s="31">
        <v>5.2804432360127791E-4</v>
      </c>
      <c r="AV104" s="31">
        <v>3.8425498789467015E-4</v>
      </c>
      <c r="AW104" s="31">
        <v>3.0378689440612523E-4</v>
      </c>
      <c r="AX104" s="31">
        <v>1.8064991620147885E-4</v>
      </c>
      <c r="AY104" s="31">
        <v>3.0086433791140266E-4</v>
      </c>
      <c r="AZ104" s="31">
        <v>5.4576237495223168E-4</v>
      </c>
      <c r="BA104" s="31">
        <v>1.2532873997370604E-3</v>
      </c>
      <c r="BB104" s="31">
        <v>7.5108825989350669E-4</v>
      </c>
      <c r="BC104" s="31">
        <v>4.409522056605546E-4</v>
      </c>
      <c r="BD104" s="31">
        <v>1.6995051642210897E-3</v>
      </c>
      <c r="BE104" s="31"/>
      <c r="BF104" s="31">
        <v>8.1105994701173535E-4</v>
      </c>
      <c r="BG104" s="31">
        <v>2.1022335668616817E-4</v>
      </c>
      <c r="BH104" s="31">
        <v>2.58820994339753E-4</v>
      </c>
      <c r="BI104" s="31">
        <v>3.7987933591312865E-4</v>
      </c>
      <c r="BJ104" s="31">
        <v>6.9118710456596874E-4</v>
      </c>
      <c r="BK104" s="31">
        <v>7.6448163197193443E-4</v>
      </c>
      <c r="BL104" s="31">
        <v>3.5681222832208664E-3</v>
      </c>
      <c r="BM104" s="31">
        <v>6.3411543968940986E-4</v>
      </c>
      <c r="BN104" s="31">
        <v>2.6965291432012639E-4</v>
      </c>
      <c r="BO104" s="31">
        <v>1.0174372371670474E-3</v>
      </c>
      <c r="BP104" s="32">
        <v>1.7434149899714349E-4</v>
      </c>
      <c r="BQ104" s="31">
        <v>2.2975242773017813E-2</v>
      </c>
      <c r="BR104" s="31">
        <v>2.6208749883928403E-2</v>
      </c>
      <c r="BS104" s="31">
        <v>4.8241226895901993E-3</v>
      </c>
      <c r="BT104" s="31">
        <v>2.3835092859274534E-3</v>
      </c>
      <c r="BU104" s="31">
        <v>1.4937227467003815E-3</v>
      </c>
      <c r="BV104" s="31">
        <v>1.4606516656209828E-2</v>
      </c>
      <c r="BW104" s="31">
        <v>1.5408083451991293E-2</v>
      </c>
      <c r="BX104" s="31">
        <v>1.0924833214769737E-3</v>
      </c>
      <c r="BY104" s="31">
        <v>2.253612810895271E-3</v>
      </c>
      <c r="BZ104" s="31">
        <v>9.9355406935536239E-3</v>
      </c>
      <c r="CA104" s="31">
        <v>1.4038830693346304E-2</v>
      </c>
      <c r="CB104" s="31">
        <v>4.7343497033055194E-3</v>
      </c>
      <c r="CC104" s="31">
        <v>2.9170128486216327E-3</v>
      </c>
      <c r="CD104" s="31">
        <v>3.423699529206016E-2</v>
      </c>
      <c r="CE104" s="31">
        <v>3.6112080684166728E-2</v>
      </c>
      <c r="CF104" s="31">
        <v>9.2519584028611236E-4</v>
      </c>
      <c r="CG104" s="32">
        <v>1.3152390103562409E-2</v>
      </c>
    </row>
    <row r="105" spans="1:182" x14ac:dyDescent="0.3">
      <c r="A105" s="30" t="s">
        <v>167</v>
      </c>
      <c r="B105" s="31">
        <v>3.0226832977102869E-2</v>
      </c>
      <c r="C105" s="31">
        <v>2.4771014150643813E-4</v>
      </c>
      <c r="D105" s="31">
        <v>2.7586925146347573E-4</v>
      </c>
      <c r="E105" s="31">
        <v>1.1329857241470133E-4</v>
      </c>
      <c r="F105" s="31" t="s">
        <v>136</v>
      </c>
      <c r="G105" s="31" t="s">
        <v>136</v>
      </c>
      <c r="H105" s="31">
        <v>3.176629823951329E-2</v>
      </c>
      <c r="I105" s="31">
        <v>2.2572098806086221E-3</v>
      </c>
      <c r="J105" s="31" t="s">
        <v>136</v>
      </c>
      <c r="K105" s="31">
        <v>4.0950296756466983E-3</v>
      </c>
      <c r="L105" s="31" t="s">
        <v>136</v>
      </c>
      <c r="M105" s="31" t="s">
        <v>136</v>
      </c>
      <c r="N105" s="31" t="s">
        <v>136</v>
      </c>
      <c r="O105" s="31">
        <v>1.0095726027222825E-4</v>
      </c>
      <c r="P105" s="31" t="s">
        <v>136</v>
      </c>
      <c r="Q105" s="31">
        <v>1.0820943754804958E-5</v>
      </c>
      <c r="R105" s="31" t="s">
        <v>136</v>
      </c>
      <c r="S105" s="31" t="s">
        <v>136</v>
      </c>
      <c r="T105" s="31" t="s">
        <v>136</v>
      </c>
      <c r="U105" s="31" t="s">
        <v>136</v>
      </c>
      <c r="V105" s="31">
        <v>9.1384886399269465E-4</v>
      </c>
      <c r="W105" s="31">
        <v>7.0399336409698475E-4</v>
      </c>
      <c r="X105" s="31">
        <v>8.5813296760044535E-4</v>
      </c>
      <c r="Y105" s="31" t="s">
        <v>136</v>
      </c>
      <c r="Z105" s="31" t="s">
        <v>136</v>
      </c>
      <c r="AA105" s="31">
        <v>8.5417486817636491E-3</v>
      </c>
      <c r="AB105" s="31">
        <v>2.7884723359276349E-4</v>
      </c>
      <c r="AC105" s="31" t="s">
        <v>136</v>
      </c>
      <c r="AD105" s="31" t="s">
        <v>136</v>
      </c>
      <c r="AE105" s="31">
        <v>1.9952971385388897E-4</v>
      </c>
      <c r="AF105" s="31" t="s">
        <v>136</v>
      </c>
      <c r="AG105" s="31" t="s">
        <v>136</v>
      </c>
      <c r="AH105" s="31">
        <v>7.6580263413648724E-4</v>
      </c>
      <c r="AI105" s="32"/>
      <c r="AJ105" s="31"/>
      <c r="AK105" s="31" t="s">
        <v>136</v>
      </c>
      <c r="AL105" s="31">
        <v>2.0881959543878325E-4</v>
      </c>
      <c r="AM105" s="31">
        <v>2.1164791536943395E-3</v>
      </c>
      <c r="AN105" s="31" t="s">
        <v>136</v>
      </c>
      <c r="AO105" s="31" t="s">
        <v>136</v>
      </c>
      <c r="AP105" s="31" t="s">
        <v>136</v>
      </c>
      <c r="AQ105" s="31" t="s">
        <v>136</v>
      </c>
      <c r="AR105" s="31" t="s">
        <v>136</v>
      </c>
      <c r="AS105" s="31">
        <v>3.631773490584369E-4</v>
      </c>
      <c r="AT105" s="31" t="s">
        <v>136</v>
      </c>
      <c r="AU105" s="31" t="s">
        <v>136</v>
      </c>
      <c r="AV105" s="31" t="s">
        <v>136</v>
      </c>
      <c r="AW105" s="31" t="s">
        <v>136</v>
      </c>
      <c r="AX105" s="31" t="s">
        <v>136</v>
      </c>
      <c r="AY105" s="31">
        <v>3.4982351622422708E-4</v>
      </c>
      <c r="AZ105" s="31" t="s">
        <v>136</v>
      </c>
      <c r="BA105" s="31">
        <v>6.2419763151759782E-4</v>
      </c>
      <c r="BB105" s="31" t="s">
        <v>136</v>
      </c>
      <c r="BC105" s="31" t="s">
        <v>136</v>
      </c>
      <c r="BD105" s="31" t="s">
        <v>136</v>
      </c>
      <c r="BE105" s="31"/>
      <c r="BF105" s="31">
        <v>9.8880609488413327E-5</v>
      </c>
      <c r="BG105" s="31" t="s">
        <v>136</v>
      </c>
      <c r="BH105" s="31" t="s">
        <v>136</v>
      </c>
      <c r="BI105" s="31">
        <v>9.1369228423447029E-4</v>
      </c>
      <c r="BJ105" s="31">
        <v>1.0401762297308478E-4</v>
      </c>
      <c r="BK105" s="31">
        <v>4.6239011491710797E-4</v>
      </c>
      <c r="BL105" s="31" t="s">
        <v>136</v>
      </c>
      <c r="BM105" s="31" t="s">
        <v>136</v>
      </c>
      <c r="BN105" s="31">
        <v>3.0592963135532097E-5</v>
      </c>
      <c r="BO105" s="31" t="s">
        <v>136</v>
      </c>
      <c r="BP105" s="32">
        <v>1.6647715348953771E-3</v>
      </c>
      <c r="BQ105" s="31">
        <v>5.7793537625328684E-2</v>
      </c>
      <c r="BR105" s="31">
        <v>1.7702232819060377E-2</v>
      </c>
      <c r="BS105" s="31">
        <v>5.4916957715858963E-3</v>
      </c>
      <c r="BT105" s="31">
        <v>2.6674679889392128E-3</v>
      </c>
      <c r="BU105" s="31" t="s">
        <v>136</v>
      </c>
      <c r="BV105" s="31">
        <v>2.032734374377515E-2</v>
      </c>
      <c r="BW105" s="31">
        <v>2.4445740526199196E-2</v>
      </c>
      <c r="BX105" s="31">
        <v>1.6561176853765352E-3</v>
      </c>
      <c r="BY105" s="31">
        <v>1.6046572439482362E-3</v>
      </c>
      <c r="BZ105" s="31">
        <v>9.0407571511101643E-3</v>
      </c>
      <c r="CA105" s="31">
        <v>1.934094066817342E-2</v>
      </c>
      <c r="CB105" s="31">
        <v>6.7181516042350356E-3</v>
      </c>
      <c r="CC105" s="31">
        <v>4.1308477518541284E-3</v>
      </c>
      <c r="CD105" s="31">
        <v>3.4368842660704488E-2</v>
      </c>
      <c r="CE105" s="31">
        <v>3.6930185423621871E-2</v>
      </c>
      <c r="CF105" s="31">
        <v>9.4437725917685103E-4</v>
      </c>
      <c r="CG105" s="32">
        <v>1.3760979484899903E-2</v>
      </c>
    </row>
    <row r="106" spans="1:182" x14ac:dyDescent="0.3">
      <c r="A106" s="30" t="s">
        <v>168</v>
      </c>
      <c r="B106" s="31">
        <v>2.4813781788187193E-2</v>
      </c>
      <c r="C106" s="31">
        <v>6.9283872866416902E-4</v>
      </c>
      <c r="D106" s="31">
        <v>1.8728045365325389E-4</v>
      </c>
      <c r="E106" s="31" t="s">
        <v>136</v>
      </c>
      <c r="F106" s="31" t="s">
        <v>136</v>
      </c>
      <c r="G106" s="31">
        <v>5.5272387402981516E-5</v>
      </c>
      <c r="H106" s="31" t="s">
        <v>136</v>
      </c>
      <c r="I106" s="31" t="s">
        <v>136</v>
      </c>
      <c r="J106" s="31" t="s">
        <v>136</v>
      </c>
      <c r="K106" s="31">
        <v>2.8947267534810826E-4</v>
      </c>
      <c r="L106" s="31">
        <v>2.9179138239059658E-4</v>
      </c>
      <c r="M106" s="31">
        <v>1.9055542808711949E-4</v>
      </c>
      <c r="N106" s="31" t="s">
        <v>136</v>
      </c>
      <c r="O106" s="31">
        <v>4.3994614447428787E-4</v>
      </c>
      <c r="P106" s="31" t="s">
        <v>136</v>
      </c>
      <c r="Q106" s="31" t="s">
        <v>136</v>
      </c>
      <c r="R106" s="31">
        <v>4.4937801204700204E-3</v>
      </c>
      <c r="S106" s="31" t="s">
        <v>136</v>
      </c>
      <c r="T106" s="31" t="s">
        <v>136</v>
      </c>
      <c r="U106" s="31">
        <v>3.7838749067768766E-4</v>
      </c>
      <c r="V106" s="31">
        <v>5.0612913071277732E-4</v>
      </c>
      <c r="W106" s="31">
        <v>1.2111894465036315E-3</v>
      </c>
      <c r="X106" s="31" t="s">
        <v>136</v>
      </c>
      <c r="Y106" s="31">
        <v>7.6471460452374383E-5</v>
      </c>
      <c r="Z106" s="31">
        <v>1.5582944296672889E-3</v>
      </c>
      <c r="AA106" s="31" t="s">
        <v>136</v>
      </c>
      <c r="AB106" s="31">
        <v>2.4883292786361103E-3</v>
      </c>
      <c r="AC106" s="31">
        <v>5.8252161666542219E-3</v>
      </c>
      <c r="AD106" s="31">
        <v>9.1710859739477203E-4</v>
      </c>
      <c r="AE106" s="31">
        <v>2.1235854095005375E-3</v>
      </c>
      <c r="AF106" s="31" t="s">
        <v>136</v>
      </c>
      <c r="AG106" s="31" t="s">
        <v>136</v>
      </c>
      <c r="AH106" s="31" t="s">
        <v>136</v>
      </c>
      <c r="AI106" s="32"/>
      <c r="AJ106" s="31"/>
      <c r="AK106" s="31">
        <v>1.3199102206315828E-3</v>
      </c>
      <c r="AL106" s="31">
        <v>4.6716173622602828E-3</v>
      </c>
      <c r="AM106" s="31">
        <v>4.582269379133707E-3</v>
      </c>
      <c r="AN106" s="31">
        <v>1.5217777427995757E-3</v>
      </c>
      <c r="AO106" s="31">
        <v>1.0447235241062322E-4</v>
      </c>
      <c r="AP106" s="31">
        <v>7.6925754795520076E-3</v>
      </c>
      <c r="AQ106" s="31" t="s">
        <v>136</v>
      </c>
      <c r="AR106" s="31">
        <v>9.8251288524537662E-3</v>
      </c>
      <c r="AS106" s="31">
        <v>6.8347927405664729E-3</v>
      </c>
      <c r="AT106" s="31">
        <v>2.4210654192453542E-3</v>
      </c>
      <c r="AU106" s="31" t="s">
        <v>136</v>
      </c>
      <c r="AV106" s="31">
        <v>7.3719654538136981E-4</v>
      </c>
      <c r="AW106" s="31">
        <v>2.3723502857747941E-3</v>
      </c>
      <c r="AX106" s="31">
        <v>1.9311831330295125E-4</v>
      </c>
      <c r="AY106" s="31">
        <v>5.1048715417974268E-3</v>
      </c>
      <c r="AZ106" s="31">
        <v>4.5618730852973917E-3</v>
      </c>
      <c r="BA106" s="31">
        <v>1.1055247682961833E-4</v>
      </c>
      <c r="BB106" s="31" t="s">
        <v>136</v>
      </c>
      <c r="BC106" s="31">
        <v>3.1320210261740005E-3</v>
      </c>
      <c r="BD106" s="31">
        <v>4.9130908950650171E-3</v>
      </c>
      <c r="BE106" s="31"/>
      <c r="BF106" s="31">
        <v>8.660257114551503E-3</v>
      </c>
      <c r="BG106" s="31">
        <v>2.4795440699402114E-3</v>
      </c>
      <c r="BH106" s="31">
        <v>9.1768336044502886E-5</v>
      </c>
      <c r="BI106" s="31">
        <v>7.6807387729738753E-3</v>
      </c>
      <c r="BJ106" s="31">
        <v>1.5254605103727874E-2</v>
      </c>
      <c r="BK106" s="31">
        <v>2.2374761359985295E-2</v>
      </c>
      <c r="BL106" s="31" t="s">
        <v>136</v>
      </c>
      <c r="BM106" s="31" t="s">
        <v>136</v>
      </c>
      <c r="BN106" s="31">
        <v>6.4340928366393572E-4</v>
      </c>
      <c r="BO106" s="31">
        <v>3.8021322544299313E-3</v>
      </c>
      <c r="BP106" s="32">
        <v>2.6459091284510507E-3</v>
      </c>
      <c r="BQ106" s="31">
        <v>6.6364818735047626E-2</v>
      </c>
      <c r="BR106" s="31">
        <v>1.0630345109660603E-2</v>
      </c>
      <c r="BS106" s="31">
        <v>6.4260480507309656E-3</v>
      </c>
      <c r="BT106" s="31">
        <v>3.3602119500135883E-3</v>
      </c>
      <c r="BU106" s="31">
        <v>7.2397042761110589E-3</v>
      </c>
      <c r="BV106" s="31">
        <v>1.3144632753076776E-2</v>
      </c>
      <c r="BW106" s="31">
        <v>2.5003566400757737E-2</v>
      </c>
      <c r="BX106" s="31">
        <v>1.4530489117095997E-2</v>
      </c>
      <c r="BY106" s="31">
        <v>4.0771826247704791E-2</v>
      </c>
      <c r="BZ106" s="31" t="s">
        <v>136</v>
      </c>
      <c r="CA106" s="31">
        <v>1.492557875300861E-2</v>
      </c>
      <c r="CB106" s="31">
        <v>1.1357862850721778E-2</v>
      </c>
      <c r="CC106" s="31">
        <v>2.2984841266882799E-2</v>
      </c>
      <c r="CD106" s="31">
        <v>9.9039010091360891E-3</v>
      </c>
      <c r="CE106" s="31">
        <v>4.7417500420310024E-2</v>
      </c>
      <c r="CF106" s="31">
        <v>5.1288736409456073E-3</v>
      </c>
      <c r="CG106" s="32">
        <v>3.0542597219321756E-2</v>
      </c>
    </row>
    <row r="107" spans="1:182" x14ac:dyDescent="0.3">
      <c r="A107" s="30" t="s">
        <v>169</v>
      </c>
      <c r="B107" s="31">
        <v>1.6783125362894454E-2</v>
      </c>
      <c r="C107" s="31">
        <v>5.2658468521829902E-3</v>
      </c>
      <c r="D107" s="31">
        <v>6.9342811273701737E-4</v>
      </c>
      <c r="E107" s="31">
        <v>3.8495477104808756E-3</v>
      </c>
      <c r="F107" s="31">
        <v>2.5886967563350837E-3</v>
      </c>
      <c r="G107" s="31">
        <v>2.1788428112015472E-3</v>
      </c>
      <c r="H107" s="31">
        <v>4.9482721210906619E-3</v>
      </c>
      <c r="I107" s="31">
        <v>3.2224036445682664E-3</v>
      </c>
      <c r="J107" s="31">
        <v>3.2893232299003816E-5</v>
      </c>
      <c r="K107" s="31">
        <v>4.7021274041310129E-3</v>
      </c>
      <c r="L107" s="31">
        <v>4.9368085968326276E-4</v>
      </c>
      <c r="M107" s="31">
        <v>5.1342266923691201E-4</v>
      </c>
      <c r="N107" s="31">
        <v>3.9009087478606542E-4</v>
      </c>
      <c r="O107" s="31">
        <v>7.4235046638722519E-4</v>
      </c>
      <c r="P107" s="31">
        <v>1.8872071326988095E-3</v>
      </c>
      <c r="Q107" s="31">
        <v>1.3844304541390213E-4</v>
      </c>
      <c r="R107" s="31">
        <v>1.5677106457818004E-3</v>
      </c>
      <c r="S107" s="31">
        <v>5.2317430195111692E-3</v>
      </c>
      <c r="T107" s="31">
        <v>2.8660817728891888E-3</v>
      </c>
      <c r="U107" s="31">
        <v>1.3728152325704313E-3</v>
      </c>
      <c r="V107" s="31">
        <v>6.6750050942263805E-3</v>
      </c>
      <c r="W107" s="31">
        <v>6.5434429716029752E-2</v>
      </c>
      <c r="X107" s="31">
        <v>7.7616670259531553E-3</v>
      </c>
      <c r="Y107" s="31">
        <v>1.9926301347799064E-3</v>
      </c>
      <c r="Z107" s="31">
        <v>9.3211935397662603E-4</v>
      </c>
      <c r="AA107" s="31">
        <v>3.0846111637055531E-3</v>
      </c>
      <c r="AB107" s="31">
        <v>9.9831433293423783E-4</v>
      </c>
      <c r="AC107" s="31">
        <v>8.5969085158711666E-4</v>
      </c>
      <c r="AD107" s="31">
        <v>3.4472096222171557E-4</v>
      </c>
      <c r="AE107" s="31">
        <v>1.1113035385330713E-3</v>
      </c>
      <c r="AF107" s="31">
        <v>1.4866530400314553E-2</v>
      </c>
      <c r="AG107" s="31">
        <v>8.3231876741335E-3</v>
      </c>
      <c r="AH107" s="31">
        <v>3.0131543045516813E-3</v>
      </c>
      <c r="AI107" s="32"/>
      <c r="AJ107" s="31"/>
      <c r="AK107" s="31">
        <v>8.4756626743567507E-4</v>
      </c>
      <c r="AL107" s="31">
        <v>4.7733842494816301E-3</v>
      </c>
      <c r="AM107" s="31">
        <v>2.6285355883909835E-3</v>
      </c>
      <c r="AN107" s="31">
        <v>3.1594867552749441E-3</v>
      </c>
      <c r="AO107" s="31">
        <v>2.7533312017096926E-4</v>
      </c>
      <c r="AP107" s="31">
        <v>7.9785342386709136E-3</v>
      </c>
      <c r="AQ107" s="31">
        <v>4.2268168066209475E-3</v>
      </c>
      <c r="AR107" s="31">
        <v>3.8881403019615304E-3</v>
      </c>
      <c r="AS107" s="31">
        <v>8.4955161258555936E-4</v>
      </c>
      <c r="AT107" s="31">
        <v>8.5946483407675612E-4</v>
      </c>
      <c r="AU107" s="31">
        <v>7.5071224065664121E-5</v>
      </c>
      <c r="AV107" s="31">
        <v>1.5638255662754556E-3</v>
      </c>
      <c r="AW107" s="31">
        <v>5.6368403983365521E-4</v>
      </c>
      <c r="AX107" s="31">
        <v>6.3951352857746519E-5</v>
      </c>
      <c r="AY107" s="31">
        <v>3.8599097413694451E-4</v>
      </c>
      <c r="AZ107" s="31">
        <v>2.2862657225023904E-3</v>
      </c>
      <c r="BA107" s="31">
        <v>1.1791177126893918E-3</v>
      </c>
      <c r="BB107" s="31">
        <v>7.5280264473635134E-4</v>
      </c>
      <c r="BC107" s="31">
        <v>3.8557196150060509E-3</v>
      </c>
      <c r="BD107" s="31">
        <v>1.3329149215593218E-3</v>
      </c>
      <c r="BE107" s="31"/>
      <c r="BF107" s="31">
        <v>6.7201577412241724E-3</v>
      </c>
      <c r="BG107" s="31">
        <v>3.6052136475658815E-3</v>
      </c>
      <c r="BH107" s="31">
        <v>2.1368038221800256E-4</v>
      </c>
      <c r="BI107" s="31">
        <v>4.7144317062439931E-4</v>
      </c>
      <c r="BJ107" s="31">
        <v>3.8962051683392794E-3</v>
      </c>
      <c r="BK107" s="31">
        <v>2.6397263537899069E-3</v>
      </c>
      <c r="BL107" s="31">
        <v>3.3693225885301709E-3</v>
      </c>
      <c r="BM107" s="31">
        <v>2.32406849126846E-6</v>
      </c>
      <c r="BN107" s="31">
        <v>3.3917938612232877E-4</v>
      </c>
      <c r="BO107" s="31">
        <v>5.2015724476138147E-3</v>
      </c>
      <c r="BP107" s="32">
        <v>4.9459995740972961E-3</v>
      </c>
      <c r="BQ107" s="31">
        <v>8.112936679182314E-3</v>
      </c>
      <c r="BR107" s="31">
        <v>8.6442680680688978E-3</v>
      </c>
      <c r="BS107" s="31">
        <v>7.4909034717910046E-4</v>
      </c>
      <c r="BT107" s="31">
        <v>6.6473663000574015E-4</v>
      </c>
      <c r="BU107" s="31">
        <v>4.5972920216120648E-3</v>
      </c>
      <c r="BV107" s="31">
        <v>2.026230661500635E-3</v>
      </c>
      <c r="BW107" s="31">
        <v>4.5529420521841762E-3</v>
      </c>
      <c r="BX107" s="31">
        <v>7.618319857517409E-4</v>
      </c>
      <c r="BY107" s="31">
        <v>8.1480379136922667E-4</v>
      </c>
      <c r="BZ107" s="31">
        <v>8.2367925897073246E-4</v>
      </c>
      <c r="CA107" s="31">
        <v>1.5615368062768065E-3</v>
      </c>
      <c r="CB107" s="31">
        <v>3.974586732096561E-4</v>
      </c>
      <c r="CC107" s="31">
        <v>6.9999030526425999E-4</v>
      </c>
      <c r="CD107" s="31">
        <v>1.1724015067563068E-3</v>
      </c>
      <c r="CE107" s="31">
        <v>1.2665126175607364E-2</v>
      </c>
      <c r="CF107" s="31">
        <v>6.0287445545809419E-4</v>
      </c>
      <c r="CG107" s="32">
        <v>2.4842020650691077E-3</v>
      </c>
    </row>
    <row r="108" spans="1:182" x14ac:dyDescent="0.3">
      <c r="A108" s="30"/>
      <c r="B108" s="31"/>
      <c r="E108" s="31"/>
      <c r="H108" s="31"/>
      <c r="I108" s="69"/>
      <c r="K108" s="31"/>
      <c r="S108" s="31"/>
      <c r="W108" s="31"/>
      <c r="X108" s="69"/>
      <c r="AA108" s="31"/>
      <c r="AH108" s="31"/>
      <c r="AI108" s="3"/>
      <c r="BP108" s="3"/>
    </row>
    <row r="109" spans="1:182" s="23" customFormat="1" x14ac:dyDescent="0.3">
      <c r="A109" s="33"/>
      <c r="B109" s="34"/>
      <c r="E109" s="34"/>
      <c r="H109" s="34"/>
      <c r="K109" s="34"/>
      <c r="S109" s="34"/>
      <c r="W109" s="34"/>
      <c r="AA109" s="34"/>
      <c r="AH109" s="34"/>
      <c r="AI109" s="49"/>
      <c r="BP109" s="49"/>
      <c r="CG109" s="4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</row>
    <row r="110" spans="1:182" ht="18" x14ac:dyDescent="0.35">
      <c r="A110" s="71" t="s">
        <v>171</v>
      </c>
      <c r="B110" s="27" t="s">
        <v>10</v>
      </c>
      <c r="C110" s="27" t="s">
        <v>11</v>
      </c>
      <c r="D110" s="27" t="s">
        <v>12</v>
      </c>
      <c r="E110" s="27" t="s">
        <v>13</v>
      </c>
      <c r="F110" s="27" t="s">
        <v>14</v>
      </c>
      <c r="G110" s="27" t="s">
        <v>15</v>
      </c>
      <c r="H110" s="27" t="s">
        <v>16</v>
      </c>
      <c r="I110" s="27" t="s">
        <v>17</v>
      </c>
      <c r="J110" s="27" t="s">
        <v>18</v>
      </c>
      <c r="K110" s="27" t="s">
        <v>19</v>
      </c>
      <c r="L110" s="27" t="s">
        <v>20</v>
      </c>
      <c r="M110" s="27" t="s">
        <v>21</v>
      </c>
      <c r="N110" s="27" t="s">
        <v>22</v>
      </c>
      <c r="O110" s="27" t="s">
        <v>23</v>
      </c>
      <c r="P110" s="27" t="s">
        <v>24</v>
      </c>
      <c r="Q110" s="27" t="s">
        <v>25</v>
      </c>
      <c r="R110" s="27" t="s">
        <v>26</v>
      </c>
      <c r="S110" s="27" t="s">
        <v>27</v>
      </c>
      <c r="T110" s="27" t="s">
        <v>28</v>
      </c>
      <c r="U110" s="27" t="s">
        <v>29</v>
      </c>
      <c r="V110" s="27" t="s">
        <v>30</v>
      </c>
      <c r="W110" s="27" t="s">
        <v>31</v>
      </c>
      <c r="X110" s="27" t="s">
        <v>32</v>
      </c>
      <c r="Y110" s="27" t="s">
        <v>33</v>
      </c>
      <c r="Z110" s="27" t="s">
        <v>34</v>
      </c>
      <c r="AA110" s="27" t="s">
        <v>35</v>
      </c>
      <c r="AB110" s="27" t="s">
        <v>36</v>
      </c>
      <c r="AC110" s="27" t="s">
        <v>37</v>
      </c>
      <c r="AD110" s="27" t="s">
        <v>38</v>
      </c>
      <c r="AE110" s="27" t="s">
        <v>39</v>
      </c>
      <c r="AF110" s="27" t="s">
        <v>40</v>
      </c>
      <c r="AG110" s="27" t="s">
        <v>41</v>
      </c>
      <c r="AH110" s="27" t="s">
        <v>42</v>
      </c>
      <c r="AI110" s="64" t="s">
        <v>43</v>
      </c>
      <c r="AJ110" s="53" t="s">
        <v>44</v>
      </c>
      <c r="AK110" s="53" t="s">
        <v>45</v>
      </c>
      <c r="AL110" s="27" t="s">
        <v>46</v>
      </c>
      <c r="AM110" s="27" t="s">
        <v>47</v>
      </c>
      <c r="AN110" s="27" t="s">
        <v>48</v>
      </c>
      <c r="AO110" s="27" t="s">
        <v>49</v>
      </c>
      <c r="AP110" s="27" t="s">
        <v>50</v>
      </c>
      <c r="AQ110" s="53" t="s">
        <v>51</v>
      </c>
      <c r="AR110" s="27" t="s">
        <v>52</v>
      </c>
      <c r="AS110" s="53" t="s">
        <v>53</v>
      </c>
      <c r="AT110" s="53" t="s">
        <v>54</v>
      </c>
      <c r="AU110" s="27" t="s">
        <v>55</v>
      </c>
      <c r="AV110" s="27" t="s">
        <v>56</v>
      </c>
      <c r="AW110" s="27" t="s">
        <v>57</v>
      </c>
      <c r="AX110" s="53" t="s">
        <v>58</v>
      </c>
      <c r="AY110" s="53" t="s">
        <v>59</v>
      </c>
      <c r="AZ110" s="27" t="s">
        <v>60</v>
      </c>
      <c r="BA110" s="53" t="s">
        <v>61</v>
      </c>
      <c r="BB110" s="53" t="s">
        <v>62</v>
      </c>
      <c r="BC110" s="27" t="s">
        <v>63</v>
      </c>
      <c r="BD110" s="53" t="s">
        <v>64</v>
      </c>
      <c r="BE110" s="53" t="s">
        <v>65</v>
      </c>
      <c r="BF110" s="27" t="s">
        <v>66</v>
      </c>
      <c r="BG110" s="27" t="s">
        <v>67</v>
      </c>
      <c r="BH110" s="53" t="s">
        <v>68</v>
      </c>
      <c r="BI110" s="53" t="s">
        <v>69</v>
      </c>
      <c r="BJ110" s="27" t="s">
        <v>70</v>
      </c>
      <c r="BK110" s="27" t="s">
        <v>71</v>
      </c>
      <c r="BL110" s="53" t="s">
        <v>72</v>
      </c>
      <c r="BM110" s="53" t="s">
        <v>73</v>
      </c>
      <c r="BN110" s="53" t="s">
        <v>74</v>
      </c>
      <c r="BO110" s="27" t="s">
        <v>75</v>
      </c>
      <c r="BP110" s="76" t="s">
        <v>76</v>
      </c>
      <c r="BQ110" s="27" t="s">
        <v>77</v>
      </c>
      <c r="BR110" s="53" t="s">
        <v>78</v>
      </c>
      <c r="BS110" s="53" t="s">
        <v>79</v>
      </c>
      <c r="BT110" s="53" t="s">
        <v>80</v>
      </c>
      <c r="BU110" s="27" t="s">
        <v>81</v>
      </c>
      <c r="BV110" s="27" t="s">
        <v>82</v>
      </c>
      <c r="BW110" s="53" t="s">
        <v>83</v>
      </c>
      <c r="BX110" s="53" t="s">
        <v>84</v>
      </c>
      <c r="BY110" s="53" t="s">
        <v>85</v>
      </c>
      <c r="BZ110" s="53" t="s">
        <v>86</v>
      </c>
      <c r="CA110" s="53" t="s">
        <v>87</v>
      </c>
      <c r="CB110" s="53" t="s">
        <v>88</v>
      </c>
      <c r="CC110" s="53" t="s">
        <v>89</v>
      </c>
      <c r="CD110" s="53" t="s">
        <v>90</v>
      </c>
      <c r="CE110" s="27" t="s">
        <v>91</v>
      </c>
      <c r="CF110" s="27" t="s">
        <v>92</v>
      </c>
      <c r="CG110" s="64" t="s">
        <v>93</v>
      </c>
    </row>
    <row r="111" spans="1:182" x14ac:dyDescent="0.3">
      <c r="A111" s="30" t="s">
        <v>172</v>
      </c>
      <c r="B111" s="77">
        <v>10.78</v>
      </c>
      <c r="C111" s="77">
        <v>10.6</v>
      </c>
      <c r="D111" s="77">
        <v>10.81</v>
      </c>
      <c r="E111" s="77">
        <v>10.68</v>
      </c>
      <c r="F111" s="77">
        <v>10.63</v>
      </c>
      <c r="G111" s="77">
        <v>10.8</v>
      </c>
      <c r="H111" s="77">
        <v>10.78</v>
      </c>
      <c r="I111" s="77">
        <v>10.81</v>
      </c>
      <c r="J111" s="77">
        <v>10.72</v>
      </c>
      <c r="K111" s="77">
        <v>10.82</v>
      </c>
      <c r="L111" s="77">
        <v>10.79</v>
      </c>
      <c r="M111" s="77">
        <v>10.69</v>
      </c>
      <c r="N111" s="77">
        <v>10.8</v>
      </c>
      <c r="O111" s="77">
        <v>10.7</v>
      </c>
      <c r="P111" s="77">
        <v>10.83</v>
      </c>
      <c r="Q111" s="77">
        <v>10.81</v>
      </c>
      <c r="R111" s="77">
        <v>10.62</v>
      </c>
      <c r="S111" s="77">
        <v>10.74</v>
      </c>
      <c r="T111" s="77">
        <v>10.8</v>
      </c>
      <c r="U111" s="77">
        <v>10.83</v>
      </c>
      <c r="V111" s="77">
        <v>10.75</v>
      </c>
      <c r="W111" s="77">
        <v>10.82</v>
      </c>
      <c r="X111" s="77">
        <v>10.8</v>
      </c>
      <c r="Y111" s="77">
        <v>10.8</v>
      </c>
      <c r="Z111" s="77">
        <v>10.83</v>
      </c>
      <c r="AA111" s="77">
        <v>10.76</v>
      </c>
      <c r="AB111" s="77">
        <v>10.73</v>
      </c>
      <c r="AC111" s="77">
        <v>10.86</v>
      </c>
      <c r="AD111" s="77">
        <v>10.75</v>
      </c>
      <c r="AE111" s="77">
        <v>10.76</v>
      </c>
      <c r="AF111" s="77">
        <v>10.73</v>
      </c>
      <c r="AG111" s="77">
        <v>10.89</v>
      </c>
      <c r="AH111" s="77">
        <v>10.72</v>
      </c>
      <c r="AI111" s="78">
        <v>10.78</v>
      </c>
      <c r="AJ111" s="77">
        <v>10.89</v>
      </c>
      <c r="AK111" s="77">
        <v>10.79</v>
      </c>
      <c r="AL111" s="77">
        <v>10.77</v>
      </c>
      <c r="AM111" s="77">
        <v>10.83</v>
      </c>
      <c r="AN111" s="77">
        <v>10.81</v>
      </c>
      <c r="AO111" s="77">
        <v>10.81</v>
      </c>
      <c r="AP111" s="77">
        <v>10.65</v>
      </c>
      <c r="AQ111" s="77">
        <v>10.85</v>
      </c>
      <c r="AR111" s="77">
        <v>10.73</v>
      </c>
      <c r="AS111" s="77">
        <v>10.81</v>
      </c>
      <c r="AT111" s="77">
        <v>10.78</v>
      </c>
      <c r="AU111" s="77">
        <v>10.76</v>
      </c>
      <c r="AV111" s="77">
        <v>10.81</v>
      </c>
      <c r="AW111" s="77">
        <v>10.68</v>
      </c>
      <c r="AX111" s="77">
        <v>10.74</v>
      </c>
      <c r="AY111" s="77">
        <v>10.75</v>
      </c>
      <c r="AZ111" s="77">
        <v>10.8</v>
      </c>
      <c r="BA111" s="77">
        <v>10.68</v>
      </c>
      <c r="BB111" s="77">
        <v>10.84</v>
      </c>
      <c r="BC111" s="77">
        <v>10.78</v>
      </c>
      <c r="BD111" s="77">
        <v>10.8</v>
      </c>
      <c r="BE111" s="77">
        <v>10.79</v>
      </c>
      <c r="BF111" s="77">
        <v>10.79</v>
      </c>
      <c r="BG111" s="77">
        <v>10.8</v>
      </c>
      <c r="BH111" s="77">
        <v>10.69</v>
      </c>
      <c r="BI111" s="77">
        <v>10.8</v>
      </c>
      <c r="BJ111" s="77">
        <v>10.8</v>
      </c>
      <c r="BK111" s="77">
        <v>10.81</v>
      </c>
      <c r="BL111" s="77">
        <v>10.61</v>
      </c>
      <c r="BM111" s="77">
        <v>10.82</v>
      </c>
      <c r="BN111" s="77">
        <v>10.74</v>
      </c>
      <c r="BO111" s="77">
        <v>10.64</v>
      </c>
      <c r="BP111" s="78">
        <v>10.76</v>
      </c>
      <c r="BQ111" s="77">
        <v>10.8</v>
      </c>
      <c r="BR111" s="77">
        <v>10.39</v>
      </c>
      <c r="BS111" s="77">
        <v>10.68</v>
      </c>
      <c r="BT111" s="77">
        <v>10.78</v>
      </c>
      <c r="BU111" s="77">
        <v>10.82</v>
      </c>
      <c r="BV111" s="77">
        <v>10.82</v>
      </c>
      <c r="BW111" s="77">
        <v>10.67</v>
      </c>
      <c r="BX111" s="77">
        <v>10.81</v>
      </c>
      <c r="BY111" s="77">
        <v>10.76</v>
      </c>
      <c r="BZ111" s="77">
        <v>10.77</v>
      </c>
      <c r="CA111" s="77">
        <v>10.83</v>
      </c>
      <c r="CB111" s="77">
        <v>10.76</v>
      </c>
      <c r="CC111" s="77">
        <v>10.76</v>
      </c>
      <c r="CD111" s="77">
        <v>10.71</v>
      </c>
      <c r="CE111" s="77">
        <v>10.77</v>
      </c>
      <c r="CF111" s="77">
        <v>10.75</v>
      </c>
      <c r="CG111" s="78">
        <v>10.76</v>
      </c>
    </row>
    <row r="112" spans="1:182" x14ac:dyDescent="0.3">
      <c r="A112" s="30" t="s">
        <v>173</v>
      </c>
      <c r="B112" s="77">
        <v>10.27</v>
      </c>
      <c r="C112" s="77">
        <v>10.1</v>
      </c>
      <c r="D112" s="77">
        <v>10.29</v>
      </c>
      <c r="E112" s="77">
        <v>10.18</v>
      </c>
      <c r="F112" s="77">
        <v>10.09</v>
      </c>
      <c r="G112" s="77">
        <v>10.29</v>
      </c>
      <c r="H112" s="77">
        <v>10.27</v>
      </c>
      <c r="I112" s="77">
        <v>10.3</v>
      </c>
      <c r="J112" s="77">
        <v>10.23</v>
      </c>
      <c r="K112" s="77">
        <v>10.31</v>
      </c>
      <c r="L112" s="77">
        <v>10.28</v>
      </c>
      <c r="M112" s="77">
        <v>10.18</v>
      </c>
      <c r="N112" s="77">
        <v>10.29</v>
      </c>
      <c r="O112" s="77">
        <v>10.18</v>
      </c>
      <c r="P112" s="77">
        <v>10.3</v>
      </c>
      <c r="Q112" s="77">
        <v>10.3</v>
      </c>
      <c r="R112" s="77">
        <v>10.1</v>
      </c>
      <c r="S112" s="77">
        <v>10.23</v>
      </c>
      <c r="T112" s="77">
        <v>10.26</v>
      </c>
      <c r="U112" s="77">
        <v>10.28</v>
      </c>
      <c r="V112" s="77">
        <v>10.24</v>
      </c>
      <c r="W112" s="77">
        <v>10.31</v>
      </c>
      <c r="X112" s="77">
        <v>10.27</v>
      </c>
      <c r="Y112" s="77">
        <v>10.28</v>
      </c>
      <c r="Z112" s="77">
        <v>10.31</v>
      </c>
      <c r="AA112" s="77">
        <v>10.26</v>
      </c>
      <c r="AB112" s="77">
        <v>10.199999999999999</v>
      </c>
      <c r="AC112" s="77">
        <v>10.33</v>
      </c>
      <c r="AD112" s="77">
        <v>10.210000000000001</v>
      </c>
      <c r="AE112" s="77">
        <v>10.26</v>
      </c>
      <c r="AF112" s="77">
        <v>10.210000000000001</v>
      </c>
      <c r="AG112" s="77">
        <v>10.34</v>
      </c>
      <c r="AH112" s="77">
        <v>10.220000000000001</v>
      </c>
      <c r="AI112" s="78">
        <v>10.27</v>
      </c>
      <c r="AJ112" s="77">
        <v>10.33</v>
      </c>
      <c r="AK112" s="77">
        <v>10.24</v>
      </c>
      <c r="AL112" s="77">
        <v>10.27</v>
      </c>
      <c r="AM112" s="77">
        <v>10.3</v>
      </c>
      <c r="AN112" s="77">
        <v>10.27</v>
      </c>
      <c r="AO112" s="77">
        <v>10.27</v>
      </c>
      <c r="AP112" s="77">
        <v>10.14</v>
      </c>
      <c r="AQ112" s="77">
        <v>10.31</v>
      </c>
      <c r="AR112" s="77">
        <v>10.220000000000001</v>
      </c>
      <c r="AS112" s="77">
        <v>10.28</v>
      </c>
      <c r="AT112" s="77">
        <v>10.27</v>
      </c>
      <c r="AU112" s="77">
        <v>10.29</v>
      </c>
      <c r="AV112" s="77">
        <v>10.29</v>
      </c>
      <c r="AW112" s="77">
        <v>10.17</v>
      </c>
      <c r="AX112" s="77">
        <v>10.210000000000001</v>
      </c>
      <c r="AY112" s="77">
        <v>10.23</v>
      </c>
      <c r="AZ112" s="77">
        <v>10.3</v>
      </c>
      <c r="BA112" s="77">
        <v>10.18</v>
      </c>
      <c r="BB112" s="77">
        <v>10.28</v>
      </c>
      <c r="BC112" s="77">
        <v>10.27</v>
      </c>
      <c r="BD112" s="77">
        <v>10.27</v>
      </c>
      <c r="BE112" s="77">
        <v>10.29</v>
      </c>
      <c r="BF112" s="77">
        <v>10.28</v>
      </c>
      <c r="BG112" s="77">
        <v>10.28</v>
      </c>
      <c r="BH112" s="77">
        <v>10.17</v>
      </c>
      <c r="BI112" s="77">
        <v>10.29</v>
      </c>
      <c r="BJ112" s="77">
        <v>10.3</v>
      </c>
      <c r="BK112" s="77">
        <v>10.29</v>
      </c>
      <c r="BL112" s="77">
        <v>10.09</v>
      </c>
      <c r="BM112" s="77">
        <v>10.28</v>
      </c>
      <c r="BN112" s="77">
        <v>10.23</v>
      </c>
      <c r="BO112" s="77">
        <v>10.130000000000001</v>
      </c>
      <c r="BP112" s="78">
        <v>10.25</v>
      </c>
      <c r="BQ112" s="77">
        <v>10.27</v>
      </c>
      <c r="BR112" s="77">
        <v>10.26</v>
      </c>
      <c r="BS112" s="77">
        <v>10.14</v>
      </c>
      <c r="BT112" s="77">
        <v>10.26</v>
      </c>
      <c r="BU112" s="77">
        <v>10.31</v>
      </c>
      <c r="BV112" s="77">
        <v>10.32</v>
      </c>
      <c r="BW112" s="77">
        <v>10.3</v>
      </c>
      <c r="BX112" s="77">
        <v>10.29</v>
      </c>
      <c r="BY112" s="77">
        <v>10.25</v>
      </c>
      <c r="BZ112" s="77">
        <v>10.26</v>
      </c>
      <c r="CA112" s="77">
        <v>10.29</v>
      </c>
      <c r="CB112" s="77">
        <v>10.24</v>
      </c>
      <c r="CC112" s="77">
        <v>10.210000000000001</v>
      </c>
      <c r="CD112" s="77">
        <v>10.23</v>
      </c>
      <c r="CE112" s="77">
        <v>10.26</v>
      </c>
      <c r="CF112" s="77">
        <v>10.24</v>
      </c>
      <c r="CG112" s="78">
        <v>10.26</v>
      </c>
    </row>
    <row r="113" spans="1:182" x14ac:dyDescent="0.3">
      <c r="A113" s="30" t="s">
        <v>174</v>
      </c>
      <c r="B113" s="77">
        <f t="shared" ref="B113" si="9">B111-B112</f>
        <v>0.50999999999999979</v>
      </c>
      <c r="C113" s="77">
        <v>0.5</v>
      </c>
      <c r="D113" s="77">
        <v>0.52000000000000135</v>
      </c>
      <c r="E113" s="77">
        <f t="shared" ref="E113" si="10">E111-E112</f>
        <v>0.5</v>
      </c>
      <c r="F113" s="77">
        <v>0.54000000000000092</v>
      </c>
      <c r="G113" s="77">
        <v>0.51000000000000156</v>
      </c>
      <c r="H113" s="77">
        <f t="shared" ref="H113:K113" si="11">H111-H112</f>
        <v>0.50999999999999979</v>
      </c>
      <c r="I113" s="77">
        <f t="shared" si="11"/>
        <v>0.50999999999999979</v>
      </c>
      <c r="J113" s="77">
        <f t="shared" si="11"/>
        <v>0.49000000000000021</v>
      </c>
      <c r="K113" s="77">
        <f t="shared" si="11"/>
        <v>0.50999999999999979</v>
      </c>
      <c r="L113" s="77">
        <v>0.50999999999999979</v>
      </c>
      <c r="M113" s="77">
        <v>0.50999999999999979</v>
      </c>
      <c r="N113" s="77">
        <v>0.51000000000000156</v>
      </c>
      <c r="O113" s="77">
        <f t="shared" ref="O113" si="12">O111-O112</f>
        <v>0.51999999999999957</v>
      </c>
      <c r="P113" s="77">
        <v>0.52999999999999936</v>
      </c>
      <c r="Q113" s="77">
        <v>0.50999999999999979</v>
      </c>
      <c r="R113" s="77">
        <v>0.51999999999999957</v>
      </c>
      <c r="S113" s="77">
        <f t="shared" ref="S113" si="13">S111-S112</f>
        <v>0.50999999999999979</v>
      </c>
      <c r="T113" s="77">
        <v>0.54000000000000092</v>
      </c>
      <c r="U113" s="77">
        <v>0.55000000000000071</v>
      </c>
      <c r="V113" s="77">
        <f t="shared" ref="V113:X113" si="14">V111-V112</f>
        <v>0.50999999999999979</v>
      </c>
      <c r="W113" s="77">
        <f t="shared" si="14"/>
        <v>0.50999999999999979</v>
      </c>
      <c r="X113" s="77">
        <f t="shared" si="14"/>
        <v>0.53000000000000114</v>
      </c>
      <c r="Y113" s="77">
        <v>0.52000000000000135</v>
      </c>
      <c r="Z113" s="77">
        <v>0.51999999999999957</v>
      </c>
      <c r="AA113" s="77">
        <f t="shared" ref="AA113" si="15">AA111-AA112</f>
        <v>0.5</v>
      </c>
      <c r="AB113" s="77">
        <v>0.53000000000000114</v>
      </c>
      <c r="AC113" s="77">
        <v>0.52999999999999936</v>
      </c>
      <c r="AD113" s="77">
        <v>0.53999999999999915</v>
      </c>
      <c r="AE113" s="77">
        <v>0.5</v>
      </c>
      <c r="AF113" s="77">
        <v>0.51999999999999957</v>
      </c>
      <c r="AG113" s="77">
        <v>0.55000000000000071</v>
      </c>
      <c r="AH113" s="77">
        <f t="shared" ref="AH113:BI113" si="16">AH111-AH112</f>
        <v>0.5</v>
      </c>
      <c r="AI113" s="78">
        <f t="shared" si="16"/>
        <v>0.50999999999999979</v>
      </c>
      <c r="AJ113" s="77">
        <f t="shared" si="16"/>
        <v>0.5600000000000005</v>
      </c>
      <c r="AK113" s="77">
        <f t="shared" si="16"/>
        <v>0.54999999999999893</v>
      </c>
      <c r="AL113" s="77">
        <f t="shared" si="16"/>
        <v>0.5</v>
      </c>
      <c r="AM113" s="77">
        <f t="shared" si="16"/>
        <v>0.52999999999999936</v>
      </c>
      <c r="AN113" s="77">
        <f t="shared" si="16"/>
        <v>0.54000000000000092</v>
      </c>
      <c r="AO113" s="77">
        <f t="shared" si="16"/>
        <v>0.54000000000000092</v>
      </c>
      <c r="AP113" s="77">
        <f t="shared" si="16"/>
        <v>0.50999999999999979</v>
      </c>
      <c r="AQ113" s="77">
        <f t="shared" si="16"/>
        <v>0.53999999999999915</v>
      </c>
      <c r="AR113" s="77">
        <f t="shared" si="16"/>
        <v>0.50999999999999979</v>
      </c>
      <c r="AS113" s="77">
        <f t="shared" si="16"/>
        <v>0.53000000000000114</v>
      </c>
      <c r="AT113" s="77">
        <f t="shared" si="16"/>
        <v>0.50999999999999979</v>
      </c>
      <c r="AU113" s="77">
        <f t="shared" si="16"/>
        <v>0.47000000000000064</v>
      </c>
      <c r="AV113" s="77">
        <f t="shared" si="16"/>
        <v>0.52000000000000135</v>
      </c>
      <c r="AW113" s="77">
        <f t="shared" si="16"/>
        <v>0.50999999999999979</v>
      </c>
      <c r="AX113" s="77">
        <f t="shared" si="16"/>
        <v>0.52999999999999936</v>
      </c>
      <c r="AY113" s="77">
        <f t="shared" si="16"/>
        <v>0.51999999999999957</v>
      </c>
      <c r="AZ113" s="77">
        <f t="shared" si="16"/>
        <v>0.5</v>
      </c>
      <c r="BA113" s="77">
        <f t="shared" si="16"/>
        <v>0.5</v>
      </c>
      <c r="BB113" s="77">
        <f t="shared" si="16"/>
        <v>0.5600000000000005</v>
      </c>
      <c r="BC113" s="77">
        <f t="shared" si="16"/>
        <v>0.50999999999999979</v>
      </c>
      <c r="BD113" s="77">
        <f t="shared" si="16"/>
        <v>0.53000000000000114</v>
      </c>
      <c r="BE113" s="77">
        <f t="shared" si="16"/>
        <v>0.5</v>
      </c>
      <c r="BF113" s="77">
        <f t="shared" si="16"/>
        <v>0.50999999999999979</v>
      </c>
      <c r="BG113" s="77">
        <f t="shared" si="16"/>
        <v>0.52000000000000135</v>
      </c>
      <c r="BH113" s="77">
        <f t="shared" si="16"/>
        <v>0.51999999999999957</v>
      </c>
      <c r="BI113" s="77">
        <f t="shared" si="16"/>
        <v>0.51000000000000156</v>
      </c>
      <c r="BJ113" s="77">
        <f>BJ111-BJ112</f>
        <v>0.5</v>
      </c>
      <c r="BK113" s="77">
        <f>BK111-BK112</f>
        <v>0.52000000000000135</v>
      </c>
      <c r="BL113" s="77">
        <f t="shared" ref="BL113:BN113" si="17">BL111-BL112</f>
        <v>0.51999999999999957</v>
      </c>
      <c r="BM113" s="77">
        <f t="shared" si="17"/>
        <v>0.54000000000000092</v>
      </c>
      <c r="BN113" s="77">
        <f t="shared" si="17"/>
        <v>0.50999999999999979</v>
      </c>
      <c r="BO113" s="77">
        <f>BO111-BO112</f>
        <v>0.50999999999999979</v>
      </c>
      <c r="BP113" s="78">
        <f t="shared" ref="BP113:CG113" si="18">BP111-BP112</f>
        <v>0.50999999999999979</v>
      </c>
      <c r="BQ113" s="77">
        <f t="shared" si="18"/>
        <v>0.53000000000000114</v>
      </c>
      <c r="BR113" s="77">
        <f t="shared" si="18"/>
        <v>0.13000000000000078</v>
      </c>
      <c r="BS113" s="77">
        <f t="shared" si="18"/>
        <v>0.53999999999999915</v>
      </c>
      <c r="BT113" s="77">
        <f t="shared" si="18"/>
        <v>0.51999999999999957</v>
      </c>
      <c r="BU113" s="77">
        <f t="shared" si="18"/>
        <v>0.50999999999999979</v>
      </c>
      <c r="BV113" s="77">
        <f t="shared" si="18"/>
        <v>0.5</v>
      </c>
      <c r="BW113" s="77">
        <f t="shared" si="18"/>
        <v>0.36999999999999922</v>
      </c>
      <c r="BX113" s="77">
        <f t="shared" si="18"/>
        <v>0.52000000000000135</v>
      </c>
      <c r="BY113" s="77">
        <f t="shared" si="18"/>
        <v>0.50999999999999979</v>
      </c>
      <c r="BZ113" s="77">
        <f t="shared" si="18"/>
        <v>0.50999999999999979</v>
      </c>
      <c r="CA113" s="77">
        <f t="shared" si="18"/>
        <v>0.54000000000000092</v>
      </c>
      <c r="CB113" s="77">
        <f t="shared" si="18"/>
        <v>0.51999999999999957</v>
      </c>
      <c r="CC113" s="77">
        <f t="shared" si="18"/>
        <v>0.54999999999999893</v>
      </c>
      <c r="CD113" s="77">
        <f t="shared" si="18"/>
        <v>0.48000000000000043</v>
      </c>
      <c r="CE113" s="77">
        <f t="shared" si="18"/>
        <v>0.50999999999999979</v>
      </c>
      <c r="CF113" s="77">
        <f t="shared" si="18"/>
        <v>0.50999999999999979</v>
      </c>
      <c r="CG113" s="78">
        <f t="shared" si="18"/>
        <v>0.5</v>
      </c>
    </row>
    <row r="114" spans="1:182" x14ac:dyDescent="0.3">
      <c r="A114" s="30" t="s">
        <v>175</v>
      </c>
      <c r="B114" s="77">
        <v>0.05</v>
      </c>
      <c r="C114" s="77">
        <v>0.05</v>
      </c>
      <c r="D114" s="77">
        <v>0.05</v>
      </c>
      <c r="E114" s="77">
        <v>0.05</v>
      </c>
      <c r="F114" s="77">
        <v>0.05</v>
      </c>
      <c r="G114" s="77">
        <v>0.05</v>
      </c>
      <c r="H114" s="77">
        <v>0.05</v>
      </c>
      <c r="I114" s="77">
        <v>0.05</v>
      </c>
      <c r="J114" s="77">
        <v>0.05</v>
      </c>
      <c r="K114" s="77">
        <v>0.05</v>
      </c>
      <c r="L114" s="77">
        <v>0.05</v>
      </c>
      <c r="M114" s="77">
        <v>0.05</v>
      </c>
      <c r="N114" s="77">
        <v>0.05</v>
      </c>
      <c r="O114" s="77">
        <v>0.05</v>
      </c>
      <c r="P114" s="77">
        <v>0.05</v>
      </c>
      <c r="Q114" s="77">
        <v>0.05</v>
      </c>
      <c r="R114" s="77">
        <v>0.05</v>
      </c>
      <c r="S114" s="77">
        <v>0.05</v>
      </c>
      <c r="T114" s="77">
        <v>0.05</v>
      </c>
      <c r="U114" s="77">
        <v>0.05</v>
      </c>
      <c r="V114" s="77">
        <v>0.05</v>
      </c>
      <c r="W114" s="77">
        <v>0.05</v>
      </c>
      <c r="X114" s="77">
        <v>0.05</v>
      </c>
      <c r="Y114" s="77">
        <v>0.05</v>
      </c>
      <c r="Z114" s="77">
        <v>0.05</v>
      </c>
      <c r="AA114" s="77">
        <v>0.05</v>
      </c>
      <c r="AB114" s="77">
        <v>0.05</v>
      </c>
      <c r="AC114" s="77">
        <v>0.05</v>
      </c>
      <c r="AD114" s="77">
        <v>0.05</v>
      </c>
      <c r="AE114" s="77">
        <v>0.05</v>
      </c>
      <c r="AF114" s="77">
        <v>0.05</v>
      </c>
      <c r="AG114" s="77">
        <v>0.05</v>
      </c>
      <c r="AH114" s="77">
        <v>0.05</v>
      </c>
      <c r="AI114" s="78">
        <v>0.05</v>
      </c>
      <c r="AJ114" s="77">
        <v>0.05</v>
      </c>
      <c r="AK114" s="77">
        <v>0.05</v>
      </c>
      <c r="AL114" s="77">
        <v>0.05</v>
      </c>
      <c r="AM114" s="77">
        <v>0.05</v>
      </c>
      <c r="AN114" s="77">
        <v>0.05</v>
      </c>
      <c r="AO114" s="77">
        <v>0.05</v>
      </c>
      <c r="AP114" s="77">
        <v>0.05</v>
      </c>
      <c r="AQ114" s="77">
        <v>0.05</v>
      </c>
      <c r="AR114" s="77">
        <v>0.05</v>
      </c>
      <c r="AS114" s="77">
        <v>0.05</v>
      </c>
      <c r="AT114" s="77">
        <v>0.05</v>
      </c>
      <c r="AU114" s="77">
        <v>0.05</v>
      </c>
      <c r="AV114" s="77">
        <v>0.05</v>
      </c>
      <c r="AW114" s="77">
        <v>0.05</v>
      </c>
      <c r="AX114" s="77">
        <v>0.05</v>
      </c>
      <c r="AY114" s="77">
        <v>0.05</v>
      </c>
      <c r="AZ114" s="77">
        <v>0.05</v>
      </c>
      <c r="BA114" s="77">
        <v>0.05</v>
      </c>
      <c r="BB114" s="77">
        <v>0.05</v>
      </c>
      <c r="BC114" s="77">
        <v>0.05</v>
      </c>
      <c r="BD114" s="77">
        <v>0.05</v>
      </c>
      <c r="BE114" s="77">
        <v>0.05</v>
      </c>
      <c r="BF114" s="77">
        <v>0.05</v>
      </c>
      <c r="BG114" s="77">
        <v>0.05</v>
      </c>
      <c r="BH114" s="77">
        <v>0.05</v>
      </c>
      <c r="BI114" s="77">
        <v>0.05</v>
      </c>
      <c r="BJ114" s="77">
        <v>0.05</v>
      </c>
      <c r="BK114" s="77">
        <v>0.05</v>
      </c>
      <c r="BL114" s="77">
        <v>0.05</v>
      </c>
      <c r="BM114" s="77">
        <v>0.05</v>
      </c>
      <c r="BN114" s="77">
        <v>0.05</v>
      </c>
      <c r="BO114" s="77">
        <v>0.05</v>
      </c>
      <c r="BP114" s="78">
        <v>0.05</v>
      </c>
      <c r="BQ114" s="77">
        <v>0.05</v>
      </c>
      <c r="BR114" s="77">
        <v>0.05</v>
      </c>
      <c r="BS114" s="77">
        <v>0.05</v>
      </c>
      <c r="BT114" s="77">
        <v>0.05</v>
      </c>
      <c r="BU114" s="77">
        <v>0.05</v>
      </c>
      <c r="BV114" s="77">
        <v>0.05</v>
      </c>
      <c r="BW114" s="77">
        <v>0.05</v>
      </c>
      <c r="BX114" s="77">
        <v>0.05</v>
      </c>
      <c r="BY114" s="77">
        <v>0.05</v>
      </c>
      <c r="BZ114" s="77">
        <v>0.05</v>
      </c>
      <c r="CA114" s="77">
        <v>0.05</v>
      </c>
      <c r="CB114" s="77">
        <v>0.05</v>
      </c>
      <c r="CC114" s="77">
        <v>0.05</v>
      </c>
      <c r="CD114" s="77">
        <v>0.05</v>
      </c>
      <c r="CE114" s="77">
        <v>0.05</v>
      </c>
      <c r="CF114" s="77">
        <v>0.05</v>
      </c>
      <c r="CG114" s="78">
        <v>0.05</v>
      </c>
    </row>
    <row r="115" spans="1:182" x14ac:dyDescent="0.3">
      <c r="A115" s="30"/>
      <c r="AI115" s="3"/>
      <c r="BP115" s="3"/>
    </row>
    <row r="116" spans="1:182" s="23" customFormat="1" x14ac:dyDescent="0.3">
      <c r="A116" s="33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2"/>
      <c r="AO116" s="21"/>
      <c r="AU116" s="21"/>
      <c r="BP116" s="49"/>
      <c r="CG116" s="49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</row>
    <row r="117" spans="1:182" s="42" customFormat="1" ht="18" x14ac:dyDescent="0.35">
      <c r="A117" s="26" t="s">
        <v>176</v>
      </c>
      <c r="B117" s="27" t="s">
        <v>10</v>
      </c>
      <c r="C117" s="27" t="s">
        <v>11</v>
      </c>
      <c r="D117" s="27" t="s">
        <v>12</v>
      </c>
      <c r="E117" s="27" t="s">
        <v>13</v>
      </c>
      <c r="F117" s="27" t="s">
        <v>14</v>
      </c>
      <c r="G117" s="27" t="s">
        <v>15</v>
      </c>
      <c r="H117" s="27" t="s">
        <v>16</v>
      </c>
      <c r="I117" s="27" t="s">
        <v>17</v>
      </c>
      <c r="J117" s="27" t="s">
        <v>18</v>
      </c>
      <c r="K117" s="27" t="s">
        <v>19</v>
      </c>
      <c r="L117" s="27" t="s">
        <v>20</v>
      </c>
      <c r="M117" s="27" t="s">
        <v>21</v>
      </c>
      <c r="N117" s="27" t="s">
        <v>22</v>
      </c>
      <c r="O117" s="27" t="s">
        <v>23</v>
      </c>
      <c r="P117" s="27" t="s">
        <v>24</v>
      </c>
      <c r="Q117" s="27" t="s">
        <v>25</v>
      </c>
      <c r="R117" s="27" t="s">
        <v>26</v>
      </c>
      <c r="S117" s="27" t="s">
        <v>27</v>
      </c>
      <c r="T117" s="27" t="s">
        <v>28</v>
      </c>
      <c r="U117" s="27" t="s">
        <v>29</v>
      </c>
      <c r="V117" s="27" t="s">
        <v>30</v>
      </c>
      <c r="W117" s="27" t="s">
        <v>31</v>
      </c>
      <c r="X117" s="27" t="s">
        <v>32</v>
      </c>
      <c r="Y117" s="27" t="s">
        <v>33</v>
      </c>
      <c r="Z117" s="27" t="s">
        <v>34</v>
      </c>
      <c r="AA117" s="27" t="s">
        <v>35</v>
      </c>
      <c r="AB117" s="27" t="s">
        <v>36</v>
      </c>
      <c r="AC117" s="27" t="s">
        <v>37</v>
      </c>
      <c r="AD117" s="27" t="s">
        <v>38</v>
      </c>
      <c r="AE117" s="27" t="s">
        <v>39</v>
      </c>
      <c r="AF117" s="27" t="s">
        <v>40</v>
      </c>
      <c r="AG117" s="27" t="s">
        <v>41</v>
      </c>
      <c r="AH117" s="27" t="s">
        <v>42</v>
      </c>
      <c r="AI117" s="64" t="s">
        <v>43</v>
      </c>
      <c r="AJ117" s="53" t="s">
        <v>44</v>
      </c>
      <c r="AK117" s="53" t="s">
        <v>45</v>
      </c>
      <c r="AL117" s="27" t="s">
        <v>46</v>
      </c>
      <c r="AM117" s="27" t="s">
        <v>47</v>
      </c>
      <c r="AN117" s="27" t="s">
        <v>48</v>
      </c>
      <c r="AO117" s="27" t="s">
        <v>49</v>
      </c>
      <c r="AP117" s="27" t="s">
        <v>50</v>
      </c>
      <c r="AQ117" s="53" t="s">
        <v>51</v>
      </c>
      <c r="AR117" s="27" t="s">
        <v>52</v>
      </c>
      <c r="AS117" s="53" t="s">
        <v>53</v>
      </c>
      <c r="AT117" s="53" t="s">
        <v>54</v>
      </c>
      <c r="AU117" s="27" t="s">
        <v>55</v>
      </c>
      <c r="AV117" s="27" t="s">
        <v>56</v>
      </c>
      <c r="AW117" s="27" t="s">
        <v>57</v>
      </c>
      <c r="AX117" s="53" t="s">
        <v>58</v>
      </c>
      <c r="AY117" s="53" t="s">
        <v>59</v>
      </c>
      <c r="AZ117" s="27" t="s">
        <v>60</v>
      </c>
      <c r="BA117" s="53" t="s">
        <v>61</v>
      </c>
      <c r="BB117" s="53" t="s">
        <v>62</v>
      </c>
      <c r="BC117" s="27" t="s">
        <v>63</v>
      </c>
      <c r="BD117" s="53" t="s">
        <v>64</v>
      </c>
      <c r="BE117" s="53" t="s">
        <v>65</v>
      </c>
      <c r="BF117" s="27" t="s">
        <v>66</v>
      </c>
      <c r="BG117" s="27" t="s">
        <v>67</v>
      </c>
      <c r="BH117" s="53" t="s">
        <v>68</v>
      </c>
      <c r="BI117" s="53" t="s">
        <v>69</v>
      </c>
      <c r="BJ117" s="27" t="s">
        <v>70</v>
      </c>
      <c r="BK117" s="27" t="s">
        <v>71</v>
      </c>
      <c r="BL117" s="53" t="s">
        <v>72</v>
      </c>
      <c r="BM117" s="53" t="s">
        <v>73</v>
      </c>
      <c r="BN117" s="53" t="s">
        <v>74</v>
      </c>
      <c r="BO117" s="27" t="s">
        <v>75</v>
      </c>
      <c r="BP117" s="76" t="s">
        <v>76</v>
      </c>
      <c r="BQ117" s="27" t="s">
        <v>77</v>
      </c>
      <c r="BR117" s="53" t="s">
        <v>78</v>
      </c>
      <c r="BS117" s="53" t="s">
        <v>79</v>
      </c>
      <c r="BT117" s="53" t="s">
        <v>80</v>
      </c>
      <c r="BU117" s="27" t="s">
        <v>81</v>
      </c>
      <c r="BV117" s="27" t="s">
        <v>82</v>
      </c>
      <c r="BW117" s="53" t="s">
        <v>83</v>
      </c>
      <c r="BX117" s="53" t="s">
        <v>84</v>
      </c>
      <c r="BY117" s="53" t="s">
        <v>85</v>
      </c>
      <c r="BZ117" s="53" t="s">
        <v>86</v>
      </c>
      <c r="CA117" s="53" t="s">
        <v>87</v>
      </c>
      <c r="CB117" s="53" t="s">
        <v>88</v>
      </c>
      <c r="CC117" s="53" t="s">
        <v>89</v>
      </c>
      <c r="CD117" s="53" t="s">
        <v>90</v>
      </c>
      <c r="CE117" s="27" t="s">
        <v>91</v>
      </c>
      <c r="CF117" s="27" t="s">
        <v>92</v>
      </c>
      <c r="CG117" s="64" t="s">
        <v>93</v>
      </c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</row>
    <row r="118" spans="1:182" x14ac:dyDescent="0.3">
      <c r="A118" s="30" t="s">
        <v>135</v>
      </c>
      <c r="B118" s="31">
        <v>9.2659751425572203</v>
      </c>
      <c r="C118" s="31">
        <v>6.6267973879282378</v>
      </c>
      <c r="D118" s="31">
        <v>7.8907408261939054</v>
      </c>
      <c r="E118" s="31">
        <v>18.441233481399713</v>
      </c>
      <c r="F118" s="31">
        <v>11.304639717823241</v>
      </c>
      <c r="G118" s="31">
        <v>16.89725418099589</v>
      </c>
      <c r="H118" s="31">
        <v>19.905933834825596</v>
      </c>
      <c r="I118" s="31">
        <v>6.4871095077565508</v>
      </c>
      <c r="J118" s="31">
        <v>13.975578107988829</v>
      </c>
      <c r="K118" s="31">
        <v>18.053081001160788</v>
      </c>
      <c r="L118" s="31" t="s">
        <v>177</v>
      </c>
      <c r="M118" s="31">
        <v>11.590373298372855</v>
      </c>
      <c r="N118" s="31">
        <v>14.871965925569384</v>
      </c>
      <c r="O118" s="31">
        <v>8.7056308082984213</v>
      </c>
      <c r="P118" s="31">
        <v>9.0315219897046006</v>
      </c>
      <c r="Q118" s="31">
        <v>3.1011043128674034</v>
      </c>
      <c r="R118" s="31">
        <v>3.8403236286647822</v>
      </c>
      <c r="S118" s="31">
        <v>10.255214185136499</v>
      </c>
      <c r="T118" s="31">
        <v>3.38230436722406</v>
      </c>
      <c r="U118" s="31">
        <v>12.7964955644544</v>
      </c>
      <c r="V118" s="31">
        <v>2.1733000860857681</v>
      </c>
      <c r="W118" s="31">
        <v>17.140843222283433</v>
      </c>
      <c r="X118" s="31">
        <v>7.329707670319924</v>
      </c>
      <c r="Y118" s="31" t="s">
        <v>177</v>
      </c>
      <c r="Z118" s="31" t="s">
        <v>177</v>
      </c>
      <c r="AA118" s="31">
        <v>12.932066849894802</v>
      </c>
      <c r="AB118" s="31">
        <v>5.866242584862734</v>
      </c>
      <c r="AC118" s="31">
        <v>5.9857055837679169</v>
      </c>
      <c r="AD118" s="31">
        <v>8.2232597444919762</v>
      </c>
      <c r="AE118" s="31">
        <v>6.8291708236246986</v>
      </c>
      <c r="AF118" s="31">
        <v>29.845729156334915</v>
      </c>
      <c r="AG118" s="31">
        <v>25.692007405878293</v>
      </c>
      <c r="AH118" s="31">
        <v>31.393039627465502</v>
      </c>
      <c r="AI118" s="32">
        <v>26.334412631734914</v>
      </c>
      <c r="AJ118" s="31">
        <v>27.367179053715329</v>
      </c>
      <c r="AK118" s="31">
        <v>28.528939399673472</v>
      </c>
      <c r="AL118" s="31">
        <v>16.376111351492227</v>
      </c>
      <c r="AM118" s="31">
        <v>34.999473387564016</v>
      </c>
      <c r="AN118" s="31">
        <v>39.359681218703805</v>
      </c>
      <c r="AO118" s="31">
        <v>25.332810784353374</v>
      </c>
      <c r="AP118" s="31">
        <v>22.940279760557971</v>
      </c>
      <c r="AQ118" s="31">
        <v>25.598698658736737</v>
      </c>
      <c r="AR118" s="31">
        <v>30.357321629020127</v>
      </c>
      <c r="AS118" s="31">
        <v>36.238009332377558</v>
      </c>
      <c r="AT118" s="31">
        <v>26.358068399792952</v>
      </c>
      <c r="AU118" s="31">
        <v>40.280895415593058</v>
      </c>
      <c r="AV118" s="31">
        <v>33.824210982014968</v>
      </c>
      <c r="AW118" s="31">
        <v>15.852637058522662</v>
      </c>
      <c r="AX118" s="31">
        <v>23.810036231535026</v>
      </c>
      <c r="AY118" s="31">
        <v>25.239785835309259</v>
      </c>
      <c r="AZ118" s="31">
        <v>39.288174424000395</v>
      </c>
      <c r="BA118" s="31">
        <v>26.384944519366776</v>
      </c>
      <c r="BB118" s="31">
        <v>37.790345985092351</v>
      </c>
      <c r="BC118" s="31">
        <v>18.32413903665697</v>
      </c>
      <c r="BD118" s="31">
        <v>9.3287570503546675</v>
      </c>
      <c r="BE118" s="31">
        <v>1.7524052237074419</v>
      </c>
      <c r="BF118" s="31">
        <v>13.339915900704968</v>
      </c>
      <c r="BG118" s="31">
        <v>20.49772509121491</v>
      </c>
      <c r="BH118" s="31">
        <v>3.4838409246915698</v>
      </c>
      <c r="BI118" s="31">
        <v>6.3455705861616805</v>
      </c>
      <c r="BJ118" s="31">
        <v>0.81908650644847281</v>
      </c>
      <c r="BK118" s="31">
        <v>7.0924290732767599</v>
      </c>
      <c r="BL118" s="31">
        <v>4.4454013475093941</v>
      </c>
      <c r="BM118" s="31" t="s">
        <v>136</v>
      </c>
      <c r="BN118" s="31" t="s">
        <v>136</v>
      </c>
      <c r="BO118" s="31" t="s">
        <v>136</v>
      </c>
      <c r="BP118" s="32">
        <v>4.870584931208394</v>
      </c>
      <c r="BQ118" s="31" t="s">
        <v>136</v>
      </c>
      <c r="BR118" s="31" t="s">
        <v>136</v>
      </c>
      <c r="BS118" s="31" t="s">
        <v>136</v>
      </c>
      <c r="BT118" s="31" t="s">
        <v>136</v>
      </c>
      <c r="BU118" s="31">
        <v>2.8870529911979519</v>
      </c>
      <c r="BV118" s="31">
        <v>0.25355111523186286</v>
      </c>
      <c r="BW118" s="31" t="s">
        <v>136</v>
      </c>
      <c r="BX118" s="31">
        <v>9.6365528702926042</v>
      </c>
      <c r="BY118" s="31" t="s">
        <v>136</v>
      </c>
      <c r="BZ118" s="31" t="s">
        <v>136</v>
      </c>
      <c r="CA118" s="31" t="s">
        <v>136</v>
      </c>
      <c r="CB118" s="31" t="s">
        <v>136</v>
      </c>
      <c r="CC118" s="31">
        <v>2.2493656832194104</v>
      </c>
      <c r="CD118" s="31" t="s">
        <v>136</v>
      </c>
      <c r="CE118" s="31" t="s">
        <v>136</v>
      </c>
      <c r="CF118" s="31">
        <v>3.2457519795753687</v>
      </c>
      <c r="CG118" s="32">
        <v>3.5936708004447189</v>
      </c>
    </row>
    <row r="119" spans="1:182" x14ac:dyDescent="0.3">
      <c r="A119" s="30" t="s">
        <v>137</v>
      </c>
      <c r="B119" s="31">
        <v>0.43785866839270121</v>
      </c>
      <c r="C119" s="31">
        <v>0.65473463295997669</v>
      </c>
      <c r="D119" s="31">
        <v>0.42733197852374433</v>
      </c>
      <c r="E119" s="31">
        <v>0.90582628513729546</v>
      </c>
      <c r="F119" s="31">
        <v>0.5231791919975306</v>
      </c>
      <c r="G119" s="31">
        <v>0.95845409800217785</v>
      </c>
      <c r="H119" s="31">
        <v>1.0279924778754415</v>
      </c>
      <c r="I119" s="31">
        <v>0.35178623836865991</v>
      </c>
      <c r="J119" s="31">
        <v>0.64796522059511308</v>
      </c>
      <c r="K119" s="31">
        <v>0.69232093555269147</v>
      </c>
      <c r="L119" s="31">
        <v>0.21101989609869423</v>
      </c>
      <c r="M119" s="31">
        <v>0.45572273752944209</v>
      </c>
      <c r="N119" s="31">
        <v>0.52819506425903906</v>
      </c>
      <c r="O119" s="31">
        <v>0.55398732861332545</v>
      </c>
      <c r="P119" s="31">
        <v>0.40808112951270298</v>
      </c>
      <c r="Q119" s="31">
        <v>0.17174361789705594</v>
      </c>
      <c r="R119" s="31">
        <v>0.29412306863230314</v>
      </c>
      <c r="S119" s="31">
        <v>0.48693880646264892</v>
      </c>
      <c r="T119" s="31">
        <v>0.17640282155642853</v>
      </c>
      <c r="U119" s="31">
        <v>0.70822898597526907</v>
      </c>
      <c r="V119" s="31">
        <v>0.13413155493008097</v>
      </c>
      <c r="W119" s="31">
        <v>0.63736446684041836</v>
      </c>
      <c r="X119" s="31">
        <v>0.3643359603087476</v>
      </c>
      <c r="Y119" s="31">
        <v>0.27479968151529283</v>
      </c>
      <c r="Z119" s="31">
        <v>0.24437280297965408</v>
      </c>
      <c r="AA119" s="31">
        <v>0.46049569769088483</v>
      </c>
      <c r="AB119" s="31">
        <v>0.14476423474792943</v>
      </c>
      <c r="AC119" s="31">
        <v>0.15245589244192756</v>
      </c>
      <c r="AD119" s="31">
        <v>0.38244005524588026</v>
      </c>
      <c r="AE119" s="31">
        <v>0.19129279048274636</v>
      </c>
      <c r="AF119" s="31">
        <v>1.1842753246461084</v>
      </c>
      <c r="AG119" s="31">
        <v>1.2566559349022801</v>
      </c>
      <c r="AH119" s="31">
        <v>1.1059334188090504</v>
      </c>
      <c r="AI119" s="32">
        <v>1.366633662678971</v>
      </c>
      <c r="AJ119" s="31">
        <v>1.0917617741338501</v>
      </c>
      <c r="AK119" s="31">
        <v>1.0511332008708891</v>
      </c>
      <c r="AL119" s="31">
        <v>0.69150142481293719</v>
      </c>
      <c r="AM119" s="31">
        <v>1.8982210523196172</v>
      </c>
      <c r="AN119" s="31">
        <v>1.46085913621036</v>
      </c>
      <c r="AO119" s="31">
        <v>0.70836924855149597</v>
      </c>
      <c r="AP119" s="31">
        <v>1.2732154353322414</v>
      </c>
      <c r="AQ119" s="31">
        <v>0.58208002448823182</v>
      </c>
      <c r="AR119" s="31">
        <v>1.2990766765746293</v>
      </c>
      <c r="AS119" s="31">
        <v>1.5257243500155211</v>
      </c>
      <c r="AT119" s="31">
        <v>1.1321837167670299</v>
      </c>
      <c r="AU119" s="31">
        <v>1.9335066662243241</v>
      </c>
      <c r="AV119" s="31">
        <v>1.0454097447027224</v>
      </c>
      <c r="AW119" s="31">
        <v>1.0349988653877844</v>
      </c>
      <c r="AX119" s="31">
        <v>0.31402594947026186</v>
      </c>
      <c r="AY119" s="31">
        <v>1.0474144964845107</v>
      </c>
      <c r="AZ119" s="31">
        <v>2.1701269566283505</v>
      </c>
      <c r="BA119" s="31">
        <v>0.76254178577566989</v>
      </c>
      <c r="BB119" s="31">
        <v>1.841636967333558</v>
      </c>
      <c r="BC119" s="31">
        <v>0.84718983056306207</v>
      </c>
      <c r="BD119" s="31">
        <v>1.0476426080175933</v>
      </c>
      <c r="BE119" s="31">
        <v>0.682116232307862</v>
      </c>
      <c r="BF119" s="31">
        <v>0.80334233649078435</v>
      </c>
      <c r="BG119" s="31">
        <v>0.95812435166231702</v>
      </c>
      <c r="BH119" s="31">
        <v>0.68759134208571804</v>
      </c>
      <c r="BI119" s="31">
        <v>0.65656260360323715</v>
      </c>
      <c r="BJ119" s="31">
        <v>0.50119303708428264</v>
      </c>
      <c r="BK119" s="31">
        <v>0.994659477484925</v>
      </c>
      <c r="BL119" s="31">
        <v>0.65489611099218947</v>
      </c>
      <c r="BM119" s="31">
        <v>0.40255787636574841</v>
      </c>
      <c r="BN119" s="31">
        <v>0.40262492606698363</v>
      </c>
      <c r="BO119" s="31">
        <v>0.41095600416393246</v>
      </c>
      <c r="BP119" s="32">
        <v>0.76507311486177176</v>
      </c>
      <c r="BQ119" s="31">
        <v>0.18858589244983046</v>
      </c>
      <c r="BR119" s="31">
        <v>0.35385877495540402</v>
      </c>
      <c r="BS119" s="31">
        <v>0.12853880843344972</v>
      </c>
      <c r="BT119" s="31">
        <v>0.25677821490188901</v>
      </c>
      <c r="BU119" s="31">
        <v>0.54543948308091006</v>
      </c>
      <c r="BV119" s="31">
        <v>0.56945546562135418</v>
      </c>
      <c r="BW119" s="31">
        <v>0.17393312817186754</v>
      </c>
      <c r="BX119" s="31">
        <v>0.72039494339551413</v>
      </c>
      <c r="BY119" s="31">
        <v>0.4996978040659073</v>
      </c>
      <c r="BZ119" s="31">
        <v>0.1694513851926516</v>
      </c>
      <c r="CA119" s="31">
        <v>0.17582491194793035</v>
      </c>
      <c r="CB119" s="31">
        <v>0.34662967744882173</v>
      </c>
      <c r="CC119" s="31">
        <v>1.0776568816622469</v>
      </c>
      <c r="CD119" s="31">
        <v>0.39617079380660153</v>
      </c>
      <c r="CE119" s="31">
        <v>2.0080753661890497E-2</v>
      </c>
      <c r="CF119" s="31">
        <v>0.67542277925498917</v>
      </c>
      <c r="CG119" s="32">
        <v>0.68972415233532802</v>
      </c>
    </row>
    <row r="120" spans="1:182" x14ac:dyDescent="0.3">
      <c r="A120" s="30" t="s">
        <v>138</v>
      </c>
      <c r="B120" s="31">
        <v>7.7144635339333067</v>
      </c>
      <c r="C120" s="31">
        <v>3.0747888326801678</v>
      </c>
      <c r="D120" s="31">
        <v>24.050610961807266</v>
      </c>
      <c r="E120" s="31">
        <v>18.773272951814125</v>
      </c>
      <c r="F120" s="31">
        <v>7.4240905514467279</v>
      </c>
      <c r="G120" s="31">
        <v>8.292760995760954</v>
      </c>
      <c r="H120" s="31">
        <v>8.5099371339649057</v>
      </c>
      <c r="I120" s="31">
        <v>18.565574104392361</v>
      </c>
      <c r="J120" s="31">
        <v>3.7551803485506881</v>
      </c>
      <c r="K120" s="31">
        <v>8.9026599842558358</v>
      </c>
      <c r="L120" s="31">
        <v>1.2843952987990594</v>
      </c>
      <c r="M120" s="31">
        <v>1.0857619324518339</v>
      </c>
      <c r="N120" s="31">
        <v>17.27166344965659</v>
      </c>
      <c r="O120" s="31">
        <v>4.7279100403903698</v>
      </c>
      <c r="P120" s="31">
        <v>1.9938357779303102</v>
      </c>
      <c r="Q120" s="31">
        <v>2.6013458490431778</v>
      </c>
      <c r="R120" s="31">
        <v>0.61071221745747073</v>
      </c>
      <c r="S120" s="31" t="s">
        <v>177</v>
      </c>
      <c r="T120" s="31">
        <v>4.7318557839957274</v>
      </c>
      <c r="U120" s="31">
        <v>7.1481194223041307</v>
      </c>
      <c r="V120" s="31">
        <v>2.8436360772973641</v>
      </c>
      <c r="W120" s="31">
        <v>44.708600116521403</v>
      </c>
      <c r="X120" s="31">
        <v>0.38798206582304295</v>
      </c>
      <c r="Y120" s="31" t="s">
        <v>177</v>
      </c>
      <c r="Z120" s="31" t="s">
        <v>177</v>
      </c>
      <c r="AA120" s="31">
        <v>24.809060112988881</v>
      </c>
      <c r="AB120" s="31">
        <v>6.8787217920911887</v>
      </c>
      <c r="AC120" s="31">
        <v>4.4241006252276875</v>
      </c>
      <c r="AD120" s="31" t="s">
        <v>177</v>
      </c>
      <c r="AE120" s="31">
        <v>9.7980444546339509</v>
      </c>
      <c r="AF120" s="31">
        <v>83.132846702989539</v>
      </c>
      <c r="AG120" s="31">
        <v>31.207842368751379</v>
      </c>
      <c r="AH120" s="31">
        <v>117.83567986606833</v>
      </c>
      <c r="AI120" s="32">
        <v>31.797820653074716</v>
      </c>
      <c r="AJ120" s="31">
        <v>20.65625797844497</v>
      </c>
      <c r="AK120" s="31">
        <v>24.891717887415712</v>
      </c>
      <c r="AL120" s="31">
        <v>9.6915568539374135</v>
      </c>
      <c r="AM120" s="31">
        <v>9.7300893432047069</v>
      </c>
      <c r="AN120" s="31">
        <v>37.738977294544306</v>
      </c>
      <c r="AO120" s="31">
        <v>104.10546935020794</v>
      </c>
      <c r="AP120" s="31">
        <v>10.280603834664577</v>
      </c>
      <c r="AQ120" s="31">
        <v>114.56278719930917</v>
      </c>
      <c r="AR120" s="31">
        <v>27.943280835303433</v>
      </c>
      <c r="AS120" s="31">
        <v>13.030136910640392</v>
      </c>
      <c r="AT120" s="31">
        <v>31.475748946149718</v>
      </c>
      <c r="AU120" s="31">
        <v>53.889086807095019</v>
      </c>
      <c r="AV120" s="31">
        <v>16.62322734396561</v>
      </c>
      <c r="AW120" s="31">
        <v>9.4872525760118993</v>
      </c>
      <c r="AX120" s="31">
        <v>29.531966545325318</v>
      </c>
      <c r="AY120" s="31">
        <v>7.4368033295889013</v>
      </c>
      <c r="AZ120" s="31">
        <v>17.236745699487297</v>
      </c>
      <c r="BA120" s="31">
        <v>26.080973154539617</v>
      </c>
      <c r="BB120" s="31">
        <v>10.557115013238839</v>
      </c>
      <c r="BC120" s="31">
        <v>31.117180283408736</v>
      </c>
      <c r="BD120" s="31">
        <v>6.2581868371520804</v>
      </c>
      <c r="BE120" s="31">
        <v>11.075348220885495</v>
      </c>
      <c r="BF120" s="31">
        <v>22.108178780376672</v>
      </c>
      <c r="BG120" s="31">
        <v>6.390524611113336</v>
      </c>
      <c r="BH120" s="31">
        <v>6.6425033898227506</v>
      </c>
      <c r="BI120" s="31">
        <v>6.3055466734747698</v>
      </c>
      <c r="BJ120" s="31">
        <v>12.710192248892064</v>
      </c>
      <c r="BK120" s="31">
        <v>8.0645775716343007</v>
      </c>
      <c r="BL120" s="31">
        <v>6.0988323842051688</v>
      </c>
      <c r="BM120" s="31">
        <v>7.7118191316339599</v>
      </c>
      <c r="BN120" s="31">
        <v>11.752098542413624</v>
      </c>
      <c r="BO120" s="31">
        <v>11.149839033450103</v>
      </c>
      <c r="BP120" s="32">
        <v>7.2826658415993304</v>
      </c>
      <c r="BQ120" s="31">
        <v>17.738682589274514</v>
      </c>
      <c r="BR120" s="31">
        <v>24.2698667167952</v>
      </c>
      <c r="BS120" s="31">
        <v>31.09936114049701</v>
      </c>
      <c r="BT120" s="31">
        <v>10.9783327329533</v>
      </c>
      <c r="BU120" s="31">
        <v>25.185547878519817</v>
      </c>
      <c r="BV120" s="31">
        <v>28.778181106584622</v>
      </c>
      <c r="BW120" s="31">
        <v>18.663050624406235</v>
      </c>
      <c r="BX120" s="31">
        <v>24.12910161811762</v>
      </c>
      <c r="BY120" s="31">
        <v>4.6424519753171003</v>
      </c>
      <c r="BZ120" s="31">
        <v>1.3136739002045072</v>
      </c>
      <c r="CA120" s="31">
        <v>47.960837760315357</v>
      </c>
      <c r="CB120" s="31">
        <v>4.4194723798072371</v>
      </c>
      <c r="CC120" s="31">
        <v>8.4863898025697342</v>
      </c>
      <c r="CD120" s="31">
        <v>21.933242341769411</v>
      </c>
      <c r="CE120" s="31">
        <v>5.7974830126697476</v>
      </c>
      <c r="CF120" s="31">
        <v>6.6902292644541497</v>
      </c>
      <c r="CG120" s="32">
        <v>5.6004167946746488</v>
      </c>
    </row>
    <row r="121" spans="1:182" x14ac:dyDescent="0.3">
      <c r="A121" s="30" t="s">
        <v>139</v>
      </c>
      <c r="B121" s="31">
        <v>340.78543061707762</v>
      </c>
      <c r="C121" s="31">
        <v>95.816058740895826</v>
      </c>
      <c r="D121" s="31">
        <v>523.58479856095016</v>
      </c>
      <c r="E121" s="31">
        <v>5485.1206109599525</v>
      </c>
      <c r="F121" s="31">
        <v>224.13743857761577</v>
      </c>
      <c r="G121" s="31">
        <v>351.71268229698148</v>
      </c>
      <c r="H121" s="31">
        <v>326.64938228238543</v>
      </c>
      <c r="I121" s="31">
        <v>232.0634263943991</v>
      </c>
      <c r="J121" s="31">
        <v>407.38879409924817</v>
      </c>
      <c r="K121" s="31">
        <v>1386.1402105340987</v>
      </c>
      <c r="L121" s="31">
        <v>130.00905706373533</v>
      </c>
      <c r="M121" s="31">
        <v>429.97218247868159</v>
      </c>
      <c r="N121" s="31">
        <v>969.08773493096874</v>
      </c>
      <c r="O121" s="31">
        <v>277.29115996358297</v>
      </c>
      <c r="P121" s="31">
        <v>999.16527232151509</v>
      </c>
      <c r="Q121" s="31">
        <v>62.940092646017774</v>
      </c>
      <c r="R121" s="31">
        <v>170.85316637125112</v>
      </c>
      <c r="S121" s="31">
        <v>947.25334686727012</v>
      </c>
      <c r="T121" s="31">
        <v>126.16727304674124</v>
      </c>
      <c r="U121" s="31">
        <v>570.30653037392301</v>
      </c>
      <c r="V121" s="31">
        <v>190.44020792670531</v>
      </c>
      <c r="W121" s="31">
        <v>1707.1381486073071</v>
      </c>
      <c r="X121" s="31">
        <v>766.75418378715699</v>
      </c>
      <c r="Y121" s="31">
        <v>365.43965386880109</v>
      </c>
      <c r="Z121" s="31">
        <v>334.33285564719478</v>
      </c>
      <c r="AA121" s="31">
        <v>823.7514884741646</v>
      </c>
      <c r="AB121" s="31">
        <v>158.21144045677096</v>
      </c>
      <c r="AC121" s="31">
        <v>210.12290779695616</v>
      </c>
      <c r="AD121" s="31">
        <v>627.52742602049625</v>
      </c>
      <c r="AE121" s="31">
        <v>393.92177992801101</v>
      </c>
      <c r="AF121" s="31">
        <v>692.00870909347384</v>
      </c>
      <c r="AG121" s="31">
        <v>522.46217582089753</v>
      </c>
      <c r="AH121" s="31">
        <v>456.97113405095701</v>
      </c>
      <c r="AI121" s="32">
        <v>1581.052298397236</v>
      </c>
      <c r="AJ121" s="31">
        <v>277.96808772198193</v>
      </c>
      <c r="AK121" s="31">
        <v>231.15493177188696</v>
      </c>
      <c r="AL121" s="31" t="s">
        <v>136</v>
      </c>
      <c r="AM121" s="31">
        <v>1141.4794029064983</v>
      </c>
      <c r="AN121" s="31">
        <v>4671.5698377133103</v>
      </c>
      <c r="AO121" s="31">
        <v>4641.3423995368803</v>
      </c>
      <c r="AP121" s="31">
        <v>120.85849192489472</v>
      </c>
      <c r="AQ121" s="31">
        <v>1345.728546150252</v>
      </c>
      <c r="AR121" s="31">
        <v>339.90320304097759</v>
      </c>
      <c r="AS121" s="31">
        <v>948.89220903903856</v>
      </c>
      <c r="AT121" s="31">
        <v>1634.9950961673239</v>
      </c>
      <c r="AU121" s="31">
        <v>2187.964976997785</v>
      </c>
      <c r="AV121" s="31">
        <v>1071.2031831429456</v>
      </c>
      <c r="AW121" s="31">
        <v>115.05278079560676</v>
      </c>
      <c r="AX121" s="31">
        <v>526.64237993397649</v>
      </c>
      <c r="AY121" s="31">
        <v>237.92306009851274</v>
      </c>
      <c r="AZ121" s="31">
        <v>448.05615330248003</v>
      </c>
      <c r="BA121" s="31">
        <v>124.25042482392752</v>
      </c>
      <c r="BB121" s="31">
        <v>291.72748743341327</v>
      </c>
      <c r="BC121" s="31">
        <v>663.77373421231891</v>
      </c>
      <c r="BD121" s="31">
        <v>1115.1933362612472</v>
      </c>
      <c r="BE121" s="31">
        <v>299.66695746972658</v>
      </c>
      <c r="BF121" s="31">
        <v>1045.5212869030936</v>
      </c>
      <c r="BG121" s="31">
        <v>760.00619388194048</v>
      </c>
      <c r="BH121" s="31">
        <v>597.5624233116979</v>
      </c>
      <c r="BI121" s="31">
        <v>562.42613169217702</v>
      </c>
      <c r="BJ121" s="31">
        <v>362.95666410930602</v>
      </c>
      <c r="BK121" s="31">
        <v>285.90809226799303</v>
      </c>
      <c r="BL121" s="31">
        <v>462.10449939607275</v>
      </c>
      <c r="BM121" s="31">
        <v>222.33391095089502</v>
      </c>
      <c r="BN121" s="31">
        <v>284.60645388501462</v>
      </c>
      <c r="BO121" s="31">
        <v>243.49381855456187</v>
      </c>
      <c r="BP121" s="32">
        <v>480.60375110095248</v>
      </c>
      <c r="BQ121" s="31">
        <v>1934.6083592019813</v>
      </c>
      <c r="BR121" s="31">
        <v>1237.09345829894</v>
      </c>
      <c r="BS121" s="31">
        <v>2328.2784667865894</v>
      </c>
      <c r="BT121" s="31">
        <v>501.86687315057196</v>
      </c>
      <c r="BU121" s="31">
        <v>6153.0499935104635</v>
      </c>
      <c r="BV121" s="31">
        <v>461.86503539150021</v>
      </c>
      <c r="BW121" s="31">
        <v>450.07470451950059</v>
      </c>
      <c r="BX121" s="31">
        <v>3049.8783309875221</v>
      </c>
      <c r="BY121" s="31">
        <v>126.59095812604389</v>
      </c>
      <c r="BZ121" s="31" t="s">
        <v>136</v>
      </c>
      <c r="CA121" s="31">
        <v>489.55203635385652</v>
      </c>
      <c r="CB121" s="31">
        <v>208.02301054172457</v>
      </c>
      <c r="CC121" s="31">
        <v>764.9714025961124</v>
      </c>
      <c r="CD121" s="31">
        <v>424.0886946976014</v>
      </c>
      <c r="CE121" s="31" t="s">
        <v>136</v>
      </c>
      <c r="CF121" s="31">
        <v>412.64708611544847</v>
      </c>
      <c r="CG121" s="32">
        <v>545.21497613780366</v>
      </c>
    </row>
    <row r="122" spans="1:182" x14ac:dyDescent="0.3">
      <c r="A122" s="30" t="s">
        <v>140</v>
      </c>
      <c r="B122" s="31">
        <v>5117.5680709880216</v>
      </c>
      <c r="C122" s="31">
        <v>2369.7810493062657</v>
      </c>
      <c r="D122" s="31">
        <v>5845.0812462224239</v>
      </c>
      <c r="E122" s="31">
        <v>8284.2604464759042</v>
      </c>
      <c r="F122" s="31">
        <v>3812.0211188803155</v>
      </c>
      <c r="G122" s="31">
        <v>5862.0656467598847</v>
      </c>
      <c r="H122" s="31">
        <v>7953.8011155547865</v>
      </c>
      <c r="I122" s="31">
        <v>2774.8569982227364</v>
      </c>
      <c r="J122" s="31">
        <v>5909.3373630994929</v>
      </c>
      <c r="K122" s="31">
        <v>9590.2319775712494</v>
      </c>
      <c r="L122" s="31">
        <v>1725.9842462056085</v>
      </c>
      <c r="M122" s="31">
        <v>5522.6556895854765</v>
      </c>
      <c r="N122" s="31">
        <v>10234.675827862186</v>
      </c>
      <c r="O122" s="31">
        <v>4325.5845544701097</v>
      </c>
      <c r="P122" s="31">
        <v>6892.6518934526403</v>
      </c>
      <c r="Q122" s="31">
        <v>2858.5585980199621</v>
      </c>
      <c r="R122" s="31">
        <v>2950.548957293176</v>
      </c>
      <c r="S122" s="31">
        <v>7311.0051902824198</v>
      </c>
      <c r="T122" s="31">
        <v>2911.5139468288644</v>
      </c>
      <c r="U122" s="31">
        <v>6481.7803275896194</v>
      </c>
      <c r="V122" s="31">
        <v>2079.5627944682683</v>
      </c>
      <c r="W122" s="31">
        <v>8389.439262694772</v>
      </c>
      <c r="X122" s="31">
        <v>7280.6609911886635</v>
      </c>
      <c r="Y122" s="31">
        <v>2719.5762808628624</v>
      </c>
      <c r="Z122" s="31">
        <v>2471.8802314237018</v>
      </c>
      <c r="AA122" s="31">
        <v>6243.8237893638834</v>
      </c>
      <c r="AB122" s="31">
        <v>1996.4124316729553</v>
      </c>
      <c r="AC122" s="31">
        <v>2010.3585045781633</v>
      </c>
      <c r="AD122" s="31">
        <v>7013.4366018928213</v>
      </c>
      <c r="AE122" s="31">
        <v>4919.4761771558424</v>
      </c>
      <c r="AF122" s="31">
        <v>4879.0792751389727</v>
      </c>
      <c r="AG122" s="31">
        <v>2999.1698247394165</v>
      </c>
      <c r="AH122" s="31">
        <v>6983.7563989912933</v>
      </c>
      <c r="AI122" s="32">
        <v>3305.0765021985794</v>
      </c>
      <c r="AJ122" s="31">
        <v>2428.0371174995885</v>
      </c>
      <c r="AK122" s="31">
        <v>5576.2599223432808</v>
      </c>
      <c r="AL122" s="31">
        <v>2287.4124460274829</v>
      </c>
      <c r="AM122" s="31">
        <v>10922.980993311277</v>
      </c>
      <c r="AN122" s="31">
        <v>8311.6049357088905</v>
      </c>
      <c r="AO122" s="31">
        <v>9711.1607307391896</v>
      </c>
      <c r="AP122" s="31">
        <v>2563.2431889654436</v>
      </c>
      <c r="AQ122" s="31">
        <v>5796.3830776571103</v>
      </c>
      <c r="AR122" s="31">
        <v>6316.9117171829294</v>
      </c>
      <c r="AS122" s="31">
        <v>10032.783047065943</v>
      </c>
      <c r="AT122" s="31">
        <v>2884.626166866276</v>
      </c>
      <c r="AU122" s="31">
        <v>9845.0137359628479</v>
      </c>
      <c r="AV122" s="31">
        <v>6522.916141193512</v>
      </c>
      <c r="AW122" s="31">
        <v>3249.4366848145046</v>
      </c>
      <c r="AX122" s="31">
        <v>7125.011993691247</v>
      </c>
      <c r="AY122" s="31">
        <v>3965.9941287225902</v>
      </c>
      <c r="AZ122" s="31">
        <v>7770.5309288062908</v>
      </c>
      <c r="BA122" s="31">
        <v>4996.9792349955515</v>
      </c>
      <c r="BB122" s="31">
        <v>6708.1345945303765</v>
      </c>
      <c r="BC122" s="31">
        <v>7812.1885199729441</v>
      </c>
      <c r="BD122" s="31">
        <v>6852.3115152738856</v>
      </c>
      <c r="BE122" s="31">
        <v>1805.9437085115401</v>
      </c>
      <c r="BF122" s="31">
        <v>10939.456467665932</v>
      </c>
      <c r="BG122" s="31">
        <v>6144.6018976667483</v>
      </c>
      <c r="BH122" s="31">
        <v>5437.8192576640304</v>
      </c>
      <c r="BI122" s="31">
        <v>4554.2223773741198</v>
      </c>
      <c r="BJ122" s="31">
        <v>3479.6392545647273</v>
      </c>
      <c r="BK122" s="31">
        <v>4608.0041652079799</v>
      </c>
      <c r="BL122" s="31">
        <v>5843.0066780322868</v>
      </c>
      <c r="BM122" s="31">
        <v>1300.3131952604331</v>
      </c>
      <c r="BN122" s="31">
        <v>1898.9445722223315</v>
      </c>
      <c r="BO122" s="31">
        <v>1677.6056830077951</v>
      </c>
      <c r="BP122" s="32">
        <v>5166.2983651866389</v>
      </c>
      <c r="BQ122" s="31">
        <v>3835.2234575347566</v>
      </c>
      <c r="BR122" s="31">
        <v>3462.0341897493804</v>
      </c>
      <c r="BS122" s="31">
        <v>3119.6154744618802</v>
      </c>
      <c r="BT122" s="31">
        <v>1760.2311611698301</v>
      </c>
      <c r="BU122" s="31">
        <v>5071.756440047483</v>
      </c>
      <c r="BV122" s="31">
        <v>4133.0641050966087</v>
      </c>
      <c r="BW122" s="31">
        <v>5125.4400488374022</v>
      </c>
      <c r="BX122" s="31">
        <v>10223.06879590405</v>
      </c>
      <c r="BY122" s="31">
        <v>2987.9075886280057</v>
      </c>
      <c r="BZ122" s="31">
        <v>13.044388274822479</v>
      </c>
      <c r="CA122" s="31">
        <v>2745.5883099543776</v>
      </c>
      <c r="CB122" s="31">
        <v>2300.0462666145499</v>
      </c>
      <c r="CC122" s="31">
        <v>5530.6598206120379</v>
      </c>
      <c r="CD122" s="31">
        <v>2640.2663800857881</v>
      </c>
      <c r="CE122" s="31">
        <v>778.58632302185231</v>
      </c>
      <c r="CF122" s="31">
        <v>3770.2733862609648</v>
      </c>
      <c r="CG122" s="32">
        <v>6716.9064867837142</v>
      </c>
    </row>
    <row r="123" spans="1:182" x14ac:dyDescent="0.3">
      <c r="A123" s="30" t="s">
        <v>141</v>
      </c>
      <c r="B123" s="31">
        <v>8043.5533808099826</v>
      </c>
      <c r="C123" s="31">
        <v>6406.8329575431007</v>
      </c>
      <c r="D123" s="31">
        <v>5834.6251836408946</v>
      </c>
      <c r="E123" s="31">
        <v>10909.79994507079</v>
      </c>
      <c r="F123" s="31">
        <v>9110.8254352662698</v>
      </c>
      <c r="G123" s="31">
        <v>15395.461033999123</v>
      </c>
      <c r="H123" s="31">
        <v>16664.6658851555</v>
      </c>
      <c r="I123" s="31">
        <v>4131.225909628266</v>
      </c>
      <c r="J123" s="31">
        <v>14621.251098610301</v>
      </c>
      <c r="K123" s="31">
        <v>11740.284423654024</v>
      </c>
      <c r="L123" s="31">
        <v>2310.5873805970696</v>
      </c>
      <c r="M123" s="31">
        <v>14439.66609809102</v>
      </c>
      <c r="N123" s="31">
        <v>12142.022954030834</v>
      </c>
      <c r="O123" s="31">
        <v>13068.923368646552</v>
      </c>
      <c r="P123" s="31">
        <v>18131.423910900401</v>
      </c>
      <c r="Q123" s="31">
        <v>5251.7912471548261</v>
      </c>
      <c r="R123" s="31">
        <v>8290.8562407105655</v>
      </c>
      <c r="S123" s="31">
        <v>21378.077028526055</v>
      </c>
      <c r="T123" s="31">
        <v>6034.7997982385214</v>
      </c>
      <c r="U123" s="31">
        <v>16067.768278848402</v>
      </c>
      <c r="V123" s="31">
        <v>5538.1966536714244</v>
      </c>
      <c r="W123" s="31">
        <v>17142.605373318889</v>
      </c>
      <c r="X123" s="31">
        <v>17719.113571833306</v>
      </c>
      <c r="Y123" s="31">
        <v>2120.1763107394481</v>
      </c>
      <c r="Z123" s="31">
        <v>1760.1904360604929</v>
      </c>
      <c r="AA123" s="31">
        <v>13002.019489736165</v>
      </c>
      <c r="AB123" s="31">
        <v>4624.7984779363833</v>
      </c>
      <c r="AC123" s="31">
        <v>5337.2739202462881</v>
      </c>
      <c r="AD123" s="31">
        <v>20091.473342790432</v>
      </c>
      <c r="AE123" s="31">
        <v>11564.895343081167</v>
      </c>
      <c r="AF123" s="31">
        <v>7924.6723374553167</v>
      </c>
      <c r="AG123" s="31">
        <v>7996.969207014673</v>
      </c>
      <c r="AH123" s="31">
        <v>12185.441586367444</v>
      </c>
      <c r="AI123" s="32">
        <v>7474.803500293895</v>
      </c>
      <c r="AJ123" s="31">
        <v>6968.3674264232941</v>
      </c>
      <c r="AK123" s="31">
        <v>10275.769315603211</v>
      </c>
      <c r="AL123" s="31">
        <v>1545.0907338908958</v>
      </c>
      <c r="AM123" s="31">
        <v>31898.773510509025</v>
      </c>
      <c r="AN123" s="31">
        <v>14591.3980294345</v>
      </c>
      <c r="AO123" s="31">
        <v>9027.5457482902602</v>
      </c>
      <c r="AP123" s="31">
        <v>9017.7908002667864</v>
      </c>
      <c r="AQ123" s="31">
        <v>6973.2616226177488</v>
      </c>
      <c r="AR123" s="31">
        <v>15180.734012685629</v>
      </c>
      <c r="AS123" s="31">
        <v>25852.763919168374</v>
      </c>
      <c r="AT123" s="31">
        <v>8158.3534028806316</v>
      </c>
      <c r="AU123" s="31">
        <v>16368.608049597457</v>
      </c>
      <c r="AV123" s="31">
        <v>20182.518846870164</v>
      </c>
      <c r="AW123" s="31">
        <v>2853.1033418352681</v>
      </c>
      <c r="AX123" s="31">
        <v>10284.940594490108</v>
      </c>
      <c r="AY123" s="31">
        <v>9330.2183216759622</v>
      </c>
      <c r="AZ123" s="31">
        <v>22290.841298102801</v>
      </c>
      <c r="BA123" s="31">
        <v>9461.3797785129755</v>
      </c>
      <c r="BB123" s="31">
        <v>22758.077059731135</v>
      </c>
      <c r="BC123" s="31">
        <v>14965.930529149809</v>
      </c>
      <c r="BD123" s="31">
        <v>24191.786007189457</v>
      </c>
      <c r="BE123" s="31">
        <v>7126.659565242081</v>
      </c>
      <c r="BF123" s="31">
        <v>13958.982229320158</v>
      </c>
      <c r="BG123" s="31">
        <v>24985.165184392856</v>
      </c>
      <c r="BH123" s="31">
        <v>16404.143878420899</v>
      </c>
      <c r="BI123" s="31">
        <v>15523.6707227522</v>
      </c>
      <c r="BJ123" s="31">
        <v>10021.032061977161</v>
      </c>
      <c r="BK123" s="31">
        <v>17744.0711752016</v>
      </c>
      <c r="BL123" s="31">
        <v>16340.18692741089</v>
      </c>
      <c r="BM123" s="31">
        <v>3932.696218752716</v>
      </c>
      <c r="BN123" s="31">
        <v>5465.0584079988612</v>
      </c>
      <c r="BO123" s="31">
        <v>4809.8417340377082</v>
      </c>
      <c r="BP123" s="32">
        <v>15731.16464402257</v>
      </c>
      <c r="BQ123" s="31">
        <v>5011.7957290032173</v>
      </c>
      <c r="BR123" s="31">
        <v>5659.3169064425192</v>
      </c>
      <c r="BS123" s="31">
        <v>2118.9173897852688</v>
      </c>
      <c r="BT123" s="31">
        <v>3120.1736837683798</v>
      </c>
      <c r="BU123" s="31">
        <v>8375.8623562407593</v>
      </c>
      <c r="BV123" s="31">
        <v>10205.483940632455</v>
      </c>
      <c r="BW123" s="31">
        <v>4273.4239394283195</v>
      </c>
      <c r="BX123" s="31">
        <v>10744.512693134433</v>
      </c>
      <c r="BY123" s="31">
        <v>7151.6788472953413</v>
      </c>
      <c r="BZ123" s="31">
        <v>7.7935893871215054</v>
      </c>
      <c r="CA123" s="31">
        <v>2645.0566279283103</v>
      </c>
      <c r="CB123" s="31">
        <v>1436.1543331331868</v>
      </c>
      <c r="CC123" s="31">
        <v>17331.167005155985</v>
      </c>
      <c r="CD123" s="31">
        <v>6053.9018866429642</v>
      </c>
      <c r="CE123" s="31">
        <v>796.56629636023365</v>
      </c>
      <c r="CF123" s="31">
        <v>13292.166312969051</v>
      </c>
      <c r="CG123" s="32">
        <v>15352.602865665953</v>
      </c>
    </row>
    <row r="124" spans="1:182" x14ac:dyDescent="0.3">
      <c r="A124" s="30" t="s">
        <v>142</v>
      </c>
      <c r="B124" s="31">
        <v>679.73755864380621</v>
      </c>
      <c r="C124" s="31">
        <v>427.86298878700018</v>
      </c>
      <c r="D124" s="31">
        <v>428.85379298884038</v>
      </c>
      <c r="E124" s="31">
        <v>639.29246684888847</v>
      </c>
      <c r="F124" s="31">
        <v>419.7261423037649</v>
      </c>
      <c r="G124" s="31">
        <v>646.28748165469437</v>
      </c>
      <c r="H124" s="31">
        <v>626.12534123350713</v>
      </c>
      <c r="I124" s="31">
        <v>597.61042749651597</v>
      </c>
      <c r="J124" s="31">
        <v>514.65570548354435</v>
      </c>
      <c r="K124" s="31">
        <v>573.2908684537914</v>
      </c>
      <c r="L124" s="31" t="s">
        <v>177</v>
      </c>
      <c r="M124" s="31" t="s">
        <v>177</v>
      </c>
      <c r="N124" s="31" t="s">
        <v>177</v>
      </c>
      <c r="O124" s="31" t="s">
        <v>177</v>
      </c>
      <c r="P124" s="31" t="s">
        <v>177</v>
      </c>
      <c r="Q124" s="31" t="s">
        <v>177</v>
      </c>
      <c r="R124" s="31" t="s">
        <v>177</v>
      </c>
      <c r="S124" s="31" t="s">
        <v>177</v>
      </c>
      <c r="T124" s="31" t="s">
        <v>177</v>
      </c>
      <c r="U124" s="31" t="s">
        <v>177</v>
      </c>
      <c r="V124" s="31" t="s">
        <v>177</v>
      </c>
      <c r="W124" s="31" t="s">
        <v>177</v>
      </c>
      <c r="X124" s="31" t="s">
        <v>177</v>
      </c>
      <c r="Y124" s="31" t="s">
        <v>177</v>
      </c>
      <c r="Z124" s="31" t="s">
        <v>177</v>
      </c>
      <c r="AA124" s="31" t="s">
        <v>177</v>
      </c>
      <c r="AB124" s="31" t="s">
        <v>177</v>
      </c>
      <c r="AC124" s="31" t="s">
        <v>177</v>
      </c>
      <c r="AD124" s="31" t="s">
        <v>177</v>
      </c>
      <c r="AE124" s="31" t="s">
        <v>177</v>
      </c>
      <c r="AF124" s="31">
        <v>115.58248204093337</v>
      </c>
      <c r="AG124" s="31">
        <v>94.521155180135665</v>
      </c>
      <c r="AH124" s="31">
        <v>119.9511092766071</v>
      </c>
      <c r="AI124" s="32">
        <v>143.86761540354516</v>
      </c>
      <c r="AJ124" s="31">
        <v>143.36059082877847</v>
      </c>
      <c r="AK124" s="31">
        <v>159.16014775840509</v>
      </c>
      <c r="AL124" s="31">
        <v>121.36086725830397</v>
      </c>
      <c r="AM124" s="31">
        <v>130.74982459547479</v>
      </c>
      <c r="AN124" s="31">
        <v>128.05066408922602</v>
      </c>
      <c r="AO124" s="31">
        <v>131.66085959340793</v>
      </c>
      <c r="AP124" s="31">
        <v>130.84423038907315</v>
      </c>
      <c r="AQ124" s="31">
        <v>209.60751171596559</v>
      </c>
      <c r="AR124" s="31">
        <v>114.57078068410731</v>
      </c>
      <c r="AS124" s="31">
        <v>114.89464696049279</v>
      </c>
      <c r="AT124" s="31">
        <v>150.35518324571478</v>
      </c>
      <c r="AU124" s="31">
        <v>204.83647906246381</v>
      </c>
      <c r="AV124" s="31">
        <v>135.97397141134277</v>
      </c>
      <c r="AW124" s="31">
        <v>118.71244159267373</v>
      </c>
      <c r="AX124" s="31">
        <v>190.46499283126653</v>
      </c>
      <c r="AY124" s="31">
        <v>117.16049160286261</v>
      </c>
      <c r="AZ124" s="31">
        <v>114.60098915523101</v>
      </c>
      <c r="BA124" s="31">
        <v>119.70722942205987</v>
      </c>
      <c r="BB124" s="31">
        <v>130.70264913185753</v>
      </c>
      <c r="BC124" s="31">
        <v>142.08422741236279</v>
      </c>
      <c r="BD124" s="31">
        <v>56.323980273323507</v>
      </c>
      <c r="BE124" s="31">
        <v>108.79739313932652</v>
      </c>
      <c r="BF124" s="31">
        <v>190.58082124572547</v>
      </c>
      <c r="BG124" s="31">
        <v>96.472365500851311</v>
      </c>
      <c r="BH124" s="31">
        <v>121.73897835074202</v>
      </c>
      <c r="BI124" s="31">
        <v>86.232299636416002</v>
      </c>
      <c r="BJ124" s="31">
        <v>124.14264727779809</v>
      </c>
      <c r="BK124" s="31">
        <v>94.335296439169497</v>
      </c>
      <c r="BL124" s="31">
        <v>137.48409672684906</v>
      </c>
      <c r="BM124" s="31">
        <v>72.833516454199525</v>
      </c>
      <c r="BN124" s="31">
        <v>77.088866366220188</v>
      </c>
      <c r="BO124" s="31">
        <v>68.960960159619134</v>
      </c>
      <c r="BP124" s="32">
        <v>92.161121792542858</v>
      </c>
      <c r="BQ124" s="31">
        <v>85.085577725857107</v>
      </c>
      <c r="BR124" s="31">
        <v>127.19531044447702</v>
      </c>
      <c r="BS124" s="31">
        <v>235.10239551639287</v>
      </c>
      <c r="BT124" s="31">
        <v>108.09980197416002</v>
      </c>
      <c r="BU124" s="31">
        <v>96.843891819438184</v>
      </c>
      <c r="BV124" s="31">
        <v>141.06845964411281</v>
      </c>
      <c r="BW124" s="31">
        <v>379.50582433646946</v>
      </c>
      <c r="BX124" s="31">
        <v>128.81329080482416</v>
      </c>
      <c r="BY124" s="31">
        <v>74.591064842075795</v>
      </c>
      <c r="BZ124" s="31">
        <v>30.529332361410141</v>
      </c>
      <c r="CA124" s="31">
        <v>95.50076209330841</v>
      </c>
      <c r="CB124" s="31">
        <v>138.3775376483579</v>
      </c>
      <c r="CC124" s="31">
        <v>144.34428512024897</v>
      </c>
      <c r="CD124" s="31">
        <v>496.02420197971242</v>
      </c>
      <c r="CE124" s="31">
        <v>112.40440426437553</v>
      </c>
      <c r="CF124" s="31">
        <v>184.78782411937999</v>
      </c>
      <c r="CG124" s="32">
        <v>104.22395583958537</v>
      </c>
    </row>
    <row r="125" spans="1:182" x14ac:dyDescent="0.3">
      <c r="A125" s="30" t="s">
        <v>144</v>
      </c>
      <c r="B125" s="31">
        <v>2237.8835568717755</v>
      </c>
      <c r="C125" s="31">
        <v>2315.2716073304814</v>
      </c>
      <c r="D125" s="31">
        <v>2661.2039243990994</v>
      </c>
      <c r="E125" s="31">
        <v>3112.0366387574036</v>
      </c>
      <c r="F125" s="31">
        <v>2535.6269245115009</v>
      </c>
      <c r="G125" s="31">
        <v>4383.0965726096883</v>
      </c>
      <c r="H125" s="31">
        <v>2962.9079977901779</v>
      </c>
      <c r="I125" s="31">
        <v>1851.7796850631184</v>
      </c>
      <c r="J125" s="31">
        <v>3102.1270485360897</v>
      </c>
      <c r="K125" s="31">
        <v>3210.606084596433</v>
      </c>
      <c r="L125" s="31">
        <v>1275.4881600066085</v>
      </c>
      <c r="M125" s="31">
        <v>1250.9297603393334</v>
      </c>
      <c r="N125" s="31">
        <v>1072.1829642828434</v>
      </c>
      <c r="O125" s="31">
        <v>297.87161848666852</v>
      </c>
      <c r="P125" s="31">
        <v>1022.1838938124502</v>
      </c>
      <c r="Q125" s="31">
        <v>485.93350850102956</v>
      </c>
      <c r="R125" s="31">
        <v>297.87161848666852</v>
      </c>
      <c r="S125" s="31">
        <v>1089.9149147031037</v>
      </c>
      <c r="T125" s="31">
        <v>516.2379290149355</v>
      </c>
      <c r="U125" s="31">
        <v>1022.21486626628</v>
      </c>
      <c r="V125" s="31">
        <v>759.21986584085562</v>
      </c>
      <c r="W125" s="31">
        <v>1013.7284139163532</v>
      </c>
      <c r="X125" s="31">
        <v>258.16113832804405</v>
      </c>
      <c r="Y125" s="31">
        <v>1461.1401191654215</v>
      </c>
      <c r="Z125" s="31">
        <v>292.22217997387207</v>
      </c>
      <c r="AA125" s="31">
        <v>1407.9795944195619</v>
      </c>
      <c r="AB125" s="31">
        <v>555.25428317603087</v>
      </c>
      <c r="AC125" s="31">
        <v>917.81704855040311</v>
      </c>
      <c r="AD125" s="31">
        <v>455.53799253467611</v>
      </c>
      <c r="AE125" s="31">
        <v>416.96665971124264</v>
      </c>
      <c r="AF125" s="31">
        <v>1763.2740140274711</v>
      </c>
      <c r="AG125" s="31">
        <v>2519.1169049427526</v>
      </c>
      <c r="AH125" s="31">
        <v>2077.171810308183</v>
      </c>
      <c r="AI125" s="32">
        <v>2003.3075992440106</v>
      </c>
      <c r="AJ125" s="31">
        <v>2129.4049057202005</v>
      </c>
      <c r="AK125" s="31">
        <v>1956.9044436968486</v>
      </c>
      <c r="AL125" s="31">
        <v>864.28012286583169</v>
      </c>
      <c r="AM125" s="31">
        <v>2745.9410915335607</v>
      </c>
      <c r="AN125" s="31">
        <v>3144.2573068988299</v>
      </c>
      <c r="AO125" s="31">
        <v>6332.5741540836461</v>
      </c>
      <c r="AP125" s="31">
        <v>2096.9296082010815</v>
      </c>
      <c r="AQ125" s="31">
        <v>5600.738116102375</v>
      </c>
      <c r="AR125" s="31">
        <v>2954.0674104026725</v>
      </c>
      <c r="AS125" s="31">
        <v>3224.8926564004778</v>
      </c>
      <c r="AT125" s="31">
        <v>2098.3678047998046</v>
      </c>
      <c r="AU125" s="31">
        <v>4154.153162906845</v>
      </c>
      <c r="AV125" s="31">
        <v>2758.9000908706494</v>
      </c>
      <c r="AW125" s="31">
        <v>1730.7079251289929</v>
      </c>
      <c r="AX125" s="31">
        <v>4188.6846824470904</v>
      </c>
      <c r="AY125" s="31">
        <v>2357.8382110282714</v>
      </c>
      <c r="AZ125" s="31">
        <v>4417.43125086492</v>
      </c>
      <c r="BA125" s="31">
        <v>2210.991183879893</v>
      </c>
      <c r="BB125" s="31">
        <v>3539.5534133564338</v>
      </c>
      <c r="BC125" s="31">
        <v>3342.9597074426092</v>
      </c>
      <c r="BD125" s="31">
        <v>2010.5785350153797</v>
      </c>
      <c r="BE125" s="31">
        <v>2363.6505331252856</v>
      </c>
      <c r="BF125" s="31">
        <v>3133.8598512075496</v>
      </c>
      <c r="BG125" s="31">
        <v>2790.4140793430106</v>
      </c>
      <c r="BH125" s="31">
        <v>2286.81686684121</v>
      </c>
      <c r="BI125" s="31">
        <v>1852.1847439973901</v>
      </c>
      <c r="BJ125" s="31">
        <v>1874.12086247104</v>
      </c>
      <c r="BK125" s="31">
        <v>3108.6317637698603</v>
      </c>
      <c r="BL125" s="31">
        <v>2314.0651515965201</v>
      </c>
      <c r="BM125" s="31">
        <v>1459.739523000618</v>
      </c>
      <c r="BN125" s="31">
        <v>1529.8607346251692</v>
      </c>
      <c r="BO125" s="31">
        <v>1524.0087426687458</v>
      </c>
      <c r="BP125" s="32">
        <v>2133.6295148126915</v>
      </c>
      <c r="BQ125" s="31">
        <v>4805.7856337399335</v>
      </c>
      <c r="BR125" s="31">
        <v>4892.3411691089595</v>
      </c>
      <c r="BS125" s="31">
        <v>11865.138343679693</v>
      </c>
      <c r="BT125" s="31">
        <v>1938.8308156855201</v>
      </c>
      <c r="BU125" s="31">
        <v>2506.3405334010695</v>
      </c>
      <c r="BV125" s="31">
        <v>2624.0699197782956</v>
      </c>
      <c r="BW125" s="31">
        <v>7424.7161983053584</v>
      </c>
      <c r="BX125" s="31">
        <v>4195.0963995073698</v>
      </c>
      <c r="BY125" s="31">
        <v>1666.0530181805398</v>
      </c>
      <c r="BZ125" s="31">
        <v>382.13122830308271</v>
      </c>
      <c r="CA125" s="31">
        <v>4118.7452083836433</v>
      </c>
      <c r="CB125" s="31">
        <v>1340.6436638040495</v>
      </c>
      <c r="CC125" s="31">
        <v>4433.2683910478336</v>
      </c>
      <c r="CD125" s="31">
        <v>4166.6349160531299</v>
      </c>
      <c r="CE125" s="31">
        <v>942.1595412664592</v>
      </c>
      <c r="CF125" s="31">
        <v>2714.0193343941564</v>
      </c>
      <c r="CG125" s="32">
        <v>2467.8128508701984</v>
      </c>
    </row>
    <row r="126" spans="1:182" s="68" customFormat="1" x14ac:dyDescent="0.3">
      <c r="A126" s="65" t="s">
        <v>145</v>
      </c>
      <c r="B126" s="66">
        <v>9530.3330269601229</v>
      </c>
      <c r="C126" s="66">
        <v>796.23427407622</v>
      </c>
      <c r="D126" s="66">
        <v>6668.2430284806887</v>
      </c>
      <c r="E126" s="66">
        <v>590.64489206430915</v>
      </c>
      <c r="F126" s="66">
        <v>842.95466773985027</v>
      </c>
      <c r="G126" s="66">
        <v>1083.5674453164513</v>
      </c>
      <c r="H126" s="66">
        <v>1216.1379303532847</v>
      </c>
      <c r="I126" s="66">
        <v>1013.4768716969809</v>
      </c>
      <c r="J126" s="66">
        <v>1239.8672341695494</v>
      </c>
      <c r="K126" s="66">
        <v>1042.6566926231476</v>
      </c>
      <c r="L126" s="66">
        <v>193.07551770056676</v>
      </c>
      <c r="M126" s="66">
        <v>895.23392226137094</v>
      </c>
      <c r="N126" s="66">
        <v>2103.5727064759467</v>
      </c>
      <c r="O126" s="66">
        <v>1352.3275730277321</v>
      </c>
      <c r="P126" s="66">
        <v>1715.27525773927</v>
      </c>
      <c r="Q126" s="66">
        <v>213.91300899739127</v>
      </c>
      <c r="R126" s="66">
        <v>1019.1794873052221</v>
      </c>
      <c r="S126" s="66">
        <v>1359.0511941042246</v>
      </c>
      <c r="T126" s="66">
        <v>313.41586837093246</v>
      </c>
      <c r="U126" s="66">
        <v>2086.7227733261298</v>
      </c>
      <c r="V126" s="66">
        <v>523.84665193730234</v>
      </c>
      <c r="W126" s="66">
        <v>3670.7050183924589</v>
      </c>
      <c r="X126" s="66">
        <v>1146.4690512796371</v>
      </c>
      <c r="Y126" s="66">
        <v>428.46859453903687</v>
      </c>
      <c r="Z126" s="66">
        <v>361.43359876407789</v>
      </c>
      <c r="AA126" s="66">
        <v>2668.8502826245785</v>
      </c>
      <c r="AB126" s="66">
        <v>875.58213203985758</v>
      </c>
      <c r="AC126" s="66">
        <v>862.82864942695505</v>
      </c>
      <c r="AD126" s="66">
        <v>1859.6241337289653</v>
      </c>
      <c r="AE126" s="66">
        <v>1518.4218372150881</v>
      </c>
      <c r="AF126" s="66">
        <v>1854.3730905062459</v>
      </c>
      <c r="AG126" s="66">
        <v>571.47125837695535</v>
      </c>
      <c r="AH126" s="66">
        <v>1043.5695942351424</v>
      </c>
      <c r="AI126" s="67">
        <v>446.05015832083649</v>
      </c>
      <c r="AJ126" s="66">
        <v>545.22064639869916</v>
      </c>
      <c r="AK126" s="66">
        <v>814.39933762926057</v>
      </c>
      <c r="AL126" s="66">
        <v>298.98872622297529</v>
      </c>
      <c r="AM126" s="66">
        <v>1701.2807449738864</v>
      </c>
      <c r="AN126" s="66">
        <v>665.86078090497404</v>
      </c>
      <c r="AO126" s="66">
        <v>10625.284779153117</v>
      </c>
      <c r="AP126" s="66">
        <v>568.66756198496887</v>
      </c>
      <c r="AQ126" s="66">
        <v>6128.7501401811469</v>
      </c>
      <c r="AR126" s="66">
        <v>1287.8355141732802</v>
      </c>
      <c r="AS126" s="66">
        <v>1535.4894782738822</v>
      </c>
      <c r="AT126" s="66">
        <v>442.34345141805505</v>
      </c>
      <c r="AU126" s="66">
        <v>772.46430569126403</v>
      </c>
      <c r="AV126" s="66">
        <v>2102.4846634524806</v>
      </c>
      <c r="AW126" s="66">
        <v>337.52434652743159</v>
      </c>
      <c r="AX126" s="66">
        <v>2581.6414360534159</v>
      </c>
      <c r="AY126" s="66">
        <v>769.67991034136332</v>
      </c>
      <c r="AZ126" s="66">
        <v>1225.8709301179599</v>
      </c>
      <c r="BA126" s="66">
        <v>1142.6046103460005</v>
      </c>
      <c r="BB126" s="66">
        <v>875.81527285486163</v>
      </c>
      <c r="BC126" s="66">
        <v>993.92017834285321</v>
      </c>
      <c r="BD126" s="66">
        <v>1466.8271138769289</v>
      </c>
      <c r="BE126" s="66">
        <v>420.22574570099823</v>
      </c>
      <c r="BF126" s="66">
        <v>682.84063394316456</v>
      </c>
      <c r="BG126" s="66">
        <v>973.49379445918476</v>
      </c>
      <c r="BH126" s="66">
        <v>1293.3987628548903</v>
      </c>
      <c r="BI126" s="66">
        <v>1092.3558538544</v>
      </c>
      <c r="BJ126" s="66">
        <v>849.81430016458557</v>
      </c>
      <c r="BK126" s="66">
        <v>1036.3850916429301</v>
      </c>
      <c r="BL126" s="66">
        <v>1296.6141841630986</v>
      </c>
      <c r="BM126" s="66">
        <v>400.18370609263917</v>
      </c>
      <c r="BN126" s="66">
        <v>615.8867586642051</v>
      </c>
      <c r="BO126" s="66">
        <v>361.05878240138151</v>
      </c>
      <c r="BP126" s="67">
        <v>1041.9628734695768</v>
      </c>
      <c r="BQ126" s="66">
        <v>2866.5301273213149</v>
      </c>
      <c r="BR126" s="66">
        <v>2858.96115176596</v>
      </c>
      <c r="BS126" s="66">
        <v>3196.7173806664928</v>
      </c>
      <c r="BT126" s="66">
        <v>1328.3539563960503</v>
      </c>
      <c r="BU126" s="66">
        <v>654.68232919462287</v>
      </c>
      <c r="BV126" s="66">
        <v>1095.9756382984219</v>
      </c>
      <c r="BW126" s="66">
        <v>2656.1715767459559</v>
      </c>
      <c r="BX126" s="66">
        <v>1943.4204293091843</v>
      </c>
      <c r="BY126" s="66">
        <v>848.58148848757173</v>
      </c>
      <c r="BZ126" s="66" t="s">
        <v>136</v>
      </c>
      <c r="CA126" s="66">
        <v>5469.7854717011205</v>
      </c>
      <c r="CB126" s="66">
        <v>1755.7755469720696</v>
      </c>
      <c r="CC126" s="66">
        <v>1827.8100946159498</v>
      </c>
      <c r="CD126" s="66">
        <v>1767.6235485461818</v>
      </c>
      <c r="CE126" s="66">
        <v>318.29116177970604</v>
      </c>
      <c r="CF126" s="66">
        <v>1035.0274909873856</v>
      </c>
      <c r="CG126" s="67">
        <v>1415.7334564846876</v>
      </c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</row>
    <row r="127" spans="1:182" x14ac:dyDescent="0.3">
      <c r="A127" s="30" t="s">
        <v>146</v>
      </c>
      <c r="B127" s="31">
        <v>5891.3433726756402</v>
      </c>
      <c r="C127" s="31">
        <v>935.77519719681902</v>
      </c>
      <c r="D127" s="31">
        <v>3749.4550500557561</v>
      </c>
      <c r="E127" s="31">
        <v>15284.684205400692</v>
      </c>
      <c r="F127" s="31">
        <v>1169.2160836167259</v>
      </c>
      <c r="G127" s="31">
        <v>778.90309323126121</v>
      </c>
      <c r="H127" s="31">
        <v>851.17877616746796</v>
      </c>
      <c r="I127" s="31">
        <v>1658.050062954128</v>
      </c>
      <c r="J127" s="31">
        <v>1139.776709255412</v>
      </c>
      <c r="K127" s="31">
        <v>1150.075262906432</v>
      </c>
      <c r="L127" s="31">
        <v>206.8717982952158</v>
      </c>
      <c r="M127" s="31">
        <v>886.35446120206598</v>
      </c>
      <c r="N127" s="31">
        <v>553.32143685586004</v>
      </c>
      <c r="O127" s="31">
        <v>1089.2239208742126</v>
      </c>
      <c r="P127" s="31">
        <v>1536.0650309702598</v>
      </c>
      <c r="Q127" s="31">
        <v>465.02528782636688</v>
      </c>
      <c r="R127" s="31">
        <v>782.49278146170468</v>
      </c>
      <c r="S127" s="31">
        <v>1140.6399173391408</v>
      </c>
      <c r="T127" s="31">
        <v>525.91949672133842</v>
      </c>
      <c r="U127" s="31">
        <v>578.227076256533</v>
      </c>
      <c r="V127" s="31">
        <v>610.70546390294328</v>
      </c>
      <c r="W127" s="31">
        <v>1929.4465331320885</v>
      </c>
      <c r="X127" s="31">
        <v>1440.0454389102849</v>
      </c>
      <c r="Y127" s="31">
        <v>462.49937218249147</v>
      </c>
      <c r="Z127" s="31">
        <v>431.57750804770996</v>
      </c>
      <c r="AA127" s="31">
        <v>503.17574436749214</v>
      </c>
      <c r="AB127" s="31">
        <v>295.58869525548909</v>
      </c>
      <c r="AC127" s="31">
        <v>413.04672369527617</v>
      </c>
      <c r="AD127" s="31">
        <v>1202.77139649982</v>
      </c>
      <c r="AE127" s="31">
        <v>997.15975874672222</v>
      </c>
      <c r="AF127" s="31">
        <v>3588.0788358857467</v>
      </c>
      <c r="AG127" s="31">
        <v>1418.6610963543956</v>
      </c>
      <c r="AH127" s="31">
        <v>1579.1525199079485</v>
      </c>
      <c r="AI127" s="32">
        <v>746.52987797676792</v>
      </c>
      <c r="AJ127" s="31">
        <v>1729.7655301788675</v>
      </c>
      <c r="AK127" s="31">
        <v>619.39863744684487</v>
      </c>
      <c r="AL127" s="31">
        <v>706.73592671390361</v>
      </c>
      <c r="AM127" s="31">
        <v>2292.9812542305708</v>
      </c>
      <c r="AN127" s="31">
        <v>1781.7147933521699</v>
      </c>
      <c r="AO127" s="31">
        <v>3587.2426341799523</v>
      </c>
      <c r="AP127" s="31">
        <v>333.85244620508723</v>
      </c>
      <c r="AQ127" s="31">
        <v>5645.3538484965538</v>
      </c>
      <c r="AR127" s="31">
        <v>1660.7127143398739</v>
      </c>
      <c r="AS127" s="31">
        <v>836.19135286892913</v>
      </c>
      <c r="AT127" s="31">
        <v>749.64706937145331</v>
      </c>
      <c r="AU127" s="31">
        <v>511.5749824480875</v>
      </c>
      <c r="AV127" s="31">
        <v>2151.8911829656054</v>
      </c>
      <c r="AW127" s="31">
        <v>338.08204055704101</v>
      </c>
      <c r="AX127" s="31">
        <v>2578.4133382980795</v>
      </c>
      <c r="AY127" s="31">
        <v>540.6934570307111</v>
      </c>
      <c r="AZ127" s="31">
        <v>517.94764947195904</v>
      </c>
      <c r="BA127" s="31">
        <v>1041.3981352085493</v>
      </c>
      <c r="BB127" s="31">
        <v>713.55952463391407</v>
      </c>
      <c r="BC127" s="31">
        <v>805.32786283912196</v>
      </c>
      <c r="BD127" s="31">
        <v>2050.964454788802</v>
      </c>
      <c r="BE127" s="31">
        <v>1200.752712588873</v>
      </c>
      <c r="BF127" s="31">
        <v>883.95142516455542</v>
      </c>
      <c r="BG127" s="31">
        <v>520.13098634800315</v>
      </c>
      <c r="BH127" s="31">
        <v>1500.9581817309402</v>
      </c>
      <c r="BI127" s="31">
        <v>2697.9188848239701</v>
      </c>
      <c r="BJ127" s="31">
        <v>920.94293979059069</v>
      </c>
      <c r="BK127" s="31">
        <v>694.31682582093106</v>
      </c>
      <c r="BL127" s="31">
        <v>983.74751595687292</v>
      </c>
      <c r="BM127" s="31">
        <v>1403.1737296927754</v>
      </c>
      <c r="BN127" s="31">
        <v>810.2533415920642</v>
      </c>
      <c r="BO127" s="31">
        <v>895.96544663153281</v>
      </c>
      <c r="BP127" s="32">
        <v>626.00424108204993</v>
      </c>
      <c r="BQ127" s="31">
        <v>2940.4415510146482</v>
      </c>
      <c r="BR127" s="31">
        <v>3400.0216570760599</v>
      </c>
      <c r="BS127" s="31">
        <v>3648.9530674847283</v>
      </c>
      <c r="BT127" s="31">
        <v>1222.13038236126</v>
      </c>
      <c r="BU127" s="31">
        <v>1337.3499008928045</v>
      </c>
      <c r="BV127" s="31">
        <v>1774.5740876676869</v>
      </c>
      <c r="BW127" s="31">
        <v>3416.055664214653</v>
      </c>
      <c r="BX127" s="31">
        <v>3674.9862256832539</v>
      </c>
      <c r="BY127" s="31">
        <v>1139.4918372872112</v>
      </c>
      <c r="BZ127" s="31" t="s">
        <v>136</v>
      </c>
      <c r="CA127" s="31">
        <v>3844.6042804846438</v>
      </c>
      <c r="CB127" s="31">
        <v>1070.7541364583828</v>
      </c>
      <c r="CC127" s="31">
        <v>1084.9049944775779</v>
      </c>
      <c r="CD127" s="31">
        <v>2302.8949324491596</v>
      </c>
      <c r="CE127" s="31">
        <v>2519.3601259412367</v>
      </c>
      <c r="CF127" s="31">
        <v>1115.8098623005105</v>
      </c>
      <c r="CG127" s="32">
        <v>1410.6681291116042</v>
      </c>
    </row>
    <row r="128" spans="1:182" x14ac:dyDescent="0.3">
      <c r="A128" s="30" t="s">
        <v>147</v>
      </c>
      <c r="B128" s="31">
        <v>22098.822953709518</v>
      </c>
      <c r="C128" s="31">
        <v>12065.26233820814</v>
      </c>
      <c r="D128" s="31">
        <v>16329.933075073634</v>
      </c>
      <c r="E128" s="31">
        <v>20432.367055039027</v>
      </c>
      <c r="F128" s="31">
        <v>6912.9169980188553</v>
      </c>
      <c r="G128" s="31">
        <v>7599.2359959249743</v>
      </c>
      <c r="H128" s="31">
        <v>15069.864144468535</v>
      </c>
      <c r="I128" s="31">
        <v>8992.7135736215423</v>
      </c>
      <c r="J128" s="31">
        <v>9553.882007181377</v>
      </c>
      <c r="K128" s="31">
        <v>41232.015014683355</v>
      </c>
      <c r="L128" s="31">
        <v>748.16697138416794</v>
      </c>
      <c r="M128" s="31">
        <v>438.36317671039211</v>
      </c>
      <c r="N128" s="31">
        <v>535.8523342678775</v>
      </c>
      <c r="O128" s="31">
        <v>1024.8945411734337</v>
      </c>
      <c r="P128" s="31">
        <v>992.37142742871606</v>
      </c>
      <c r="Q128" s="31">
        <v>374.24006038303543</v>
      </c>
      <c r="R128" s="31">
        <v>1037.0229669733665</v>
      </c>
      <c r="S128" s="31">
        <v>629.03110410905845</v>
      </c>
      <c r="T128" s="31">
        <v>539.59958590992187</v>
      </c>
      <c r="U128" s="31">
        <v>512.34568664902201</v>
      </c>
      <c r="V128" s="31">
        <v>617.10538068131007</v>
      </c>
      <c r="W128" s="31">
        <v>2987.7647433120237</v>
      </c>
      <c r="X128" s="31">
        <v>939.67016408752625</v>
      </c>
      <c r="Y128" s="31">
        <v>352.12348441333319</v>
      </c>
      <c r="Z128" s="31">
        <v>320.14572936533534</v>
      </c>
      <c r="AA128" s="31">
        <v>293.12125821180052</v>
      </c>
      <c r="AB128" s="31">
        <v>1110.3629460406523</v>
      </c>
      <c r="AC128" s="31">
        <v>2494.5482545200516</v>
      </c>
      <c r="AD128" s="31">
        <v>765.46418083172421</v>
      </c>
      <c r="AE128" s="31">
        <v>1615.3871613350402</v>
      </c>
      <c r="AF128" s="31">
        <v>56102.625053806398</v>
      </c>
      <c r="AG128" s="31">
        <v>4549.2497708386491</v>
      </c>
      <c r="AH128" s="31">
        <v>26798.969770148458</v>
      </c>
      <c r="AI128" s="32">
        <v>4808.1839584287954</v>
      </c>
      <c r="AJ128" s="31">
        <v>3632.6792180281236</v>
      </c>
      <c r="AK128" s="31">
        <v>10165.244102674795</v>
      </c>
      <c r="AL128" s="31">
        <v>5078.8215397349277</v>
      </c>
      <c r="AM128" s="31">
        <v>10535.22752732341</v>
      </c>
      <c r="AN128" s="31">
        <v>6835.5259629170214</v>
      </c>
      <c r="AO128" s="31">
        <v>20862.943628066678</v>
      </c>
      <c r="AP128" s="31">
        <v>4595.218057244575</v>
      </c>
      <c r="AQ128" s="31">
        <v>25836.28190840051</v>
      </c>
      <c r="AR128" s="31">
        <v>12539.198621074504</v>
      </c>
      <c r="AS128" s="31">
        <v>11614.612386285391</v>
      </c>
      <c r="AT128" s="31">
        <v>3635.124456851845</v>
      </c>
      <c r="AU128" s="31">
        <v>24669.473672190892</v>
      </c>
      <c r="AV128" s="31">
        <v>15822.681251035163</v>
      </c>
      <c r="AW128" s="31">
        <v>6303.7590264888195</v>
      </c>
      <c r="AX128" s="31">
        <v>22491.314816404443</v>
      </c>
      <c r="AY128" s="31">
        <v>5727.6405301967752</v>
      </c>
      <c r="AZ128" s="31">
        <v>10986.079282258401</v>
      </c>
      <c r="BA128" s="31">
        <v>13062.169224322262</v>
      </c>
      <c r="BB128" s="31">
        <v>10062.44985887811</v>
      </c>
      <c r="BC128" s="31">
        <v>39348.279197442571</v>
      </c>
      <c r="BD128" s="31">
        <v>8292.3514141159994</v>
      </c>
      <c r="BE128" s="31">
        <v>2570.7229235808932</v>
      </c>
      <c r="BF128" s="31">
        <v>57311.239063231107</v>
      </c>
      <c r="BG128" s="31">
        <v>9751.8386306142183</v>
      </c>
      <c r="BH128" s="31">
        <v>9134.3260625712701</v>
      </c>
      <c r="BI128" s="31">
        <v>5913.7944553800407</v>
      </c>
      <c r="BJ128" s="31">
        <v>9107.6923867334062</v>
      </c>
      <c r="BK128" s="31">
        <v>7196.6979725410401</v>
      </c>
      <c r="BL128" s="31">
        <v>10317.915493636376</v>
      </c>
      <c r="BM128" s="31">
        <v>2678.507292956635</v>
      </c>
      <c r="BN128" s="31">
        <v>3260.7627904377514</v>
      </c>
      <c r="BO128" s="31">
        <v>3947.7078649056089</v>
      </c>
      <c r="BP128" s="32">
        <v>6809.095625207141</v>
      </c>
      <c r="BQ128" s="31">
        <v>13565.737755648828</v>
      </c>
      <c r="BR128" s="31">
        <v>16235.458690314299</v>
      </c>
      <c r="BS128" s="31">
        <v>11193.552469177146</v>
      </c>
      <c r="BT128" s="31">
        <v>5177.4664892178598</v>
      </c>
      <c r="BU128" s="31">
        <v>12637.375609006966</v>
      </c>
      <c r="BV128" s="31">
        <v>11939.148023666376</v>
      </c>
      <c r="BW128" s="31">
        <v>14900.789016632694</v>
      </c>
      <c r="BX128" s="31">
        <v>54079.872768521695</v>
      </c>
      <c r="BY128" s="31">
        <v>7445.2572582044604</v>
      </c>
      <c r="BZ128" s="31">
        <v>10.932538685894798</v>
      </c>
      <c r="CA128" s="31">
        <v>11562.143262203143</v>
      </c>
      <c r="CB128" s="31">
        <v>29786.055997256284</v>
      </c>
      <c r="CC128" s="31">
        <v>8830.8364348403175</v>
      </c>
      <c r="CD128" s="31">
        <v>17134.495563455708</v>
      </c>
      <c r="CE128" s="31">
        <v>3966.7580982813547</v>
      </c>
      <c r="CF128" s="31">
        <v>7991.9158299147284</v>
      </c>
      <c r="CG128" s="32">
        <v>11790.570015619925</v>
      </c>
    </row>
    <row r="129" spans="1:85" x14ac:dyDescent="0.3">
      <c r="A129" s="30" t="s">
        <v>148</v>
      </c>
      <c r="B129" s="31">
        <v>25.176364725427856</v>
      </c>
      <c r="C129" s="31">
        <v>23.470185149971677</v>
      </c>
      <c r="D129" s="31">
        <v>19.735036387092265</v>
      </c>
      <c r="E129" s="31">
        <v>51.698773224047763</v>
      </c>
      <c r="F129" s="31">
        <v>36.104586734010404</v>
      </c>
      <c r="G129" s="31">
        <v>73.920315153646101</v>
      </c>
      <c r="H129" s="31">
        <v>66.911340747611106</v>
      </c>
      <c r="I129" s="31">
        <v>20.16599089595638</v>
      </c>
      <c r="J129" s="31">
        <v>53.829877454726393</v>
      </c>
      <c r="K129" s="31">
        <v>44.305109054419823</v>
      </c>
      <c r="L129" s="31">
        <v>5373.7891535594135</v>
      </c>
      <c r="M129" s="31">
        <v>6107.8926863113784</v>
      </c>
      <c r="N129" s="31">
        <v>64728.103212170114</v>
      </c>
      <c r="O129" s="31">
        <v>8169.8801760123833</v>
      </c>
      <c r="P129" s="31">
        <v>9784.2189427696612</v>
      </c>
      <c r="Q129" s="31">
        <v>5195.0027627798354</v>
      </c>
      <c r="R129" s="31">
        <v>7456.6949297740266</v>
      </c>
      <c r="S129" s="31">
        <v>7301.293403687012</v>
      </c>
      <c r="T129" s="31">
        <v>5939.0771472701399</v>
      </c>
      <c r="U129" s="31">
        <v>18447.208112904002</v>
      </c>
      <c r="V129" s="31">
        <v>2916.887621733521</v>
      </c>
      <c r="W129" s="31">
        <v>28154.439212176418</v>
      </c>
      <c r="X129" s="31">
        <v>8232.0714534263661</v>
      </c>
      <c r="Y129" s="31">
        <v>5269.7108254192999</v>
      </c>
      <c r="Z129" s="31">
        <v>5018.3605958110347</v>
      </c>
      <c r="AA129" s="31">
        <v>11832.538632798623</v>
      </c>
      <c r="AB129" s="31">
        <v>3123.6828404666367</v>
      </c>
      <c r="AC129" s="31">
        <v>5526.9435314872599</v>
      </c>
      <c r="AD129" s="31">
        <v>6990.0311099484688</v>
      </c>
      <c r="AE129" s="31">
        <v>16120.056994677321</v>
      </c>
      <c r="AF129" s="31">
        <v>40.330452288179231</v>
      </c>
      <c r="AG129" s="31">
        <v>38.635967120193882</v>
      </c>
      <c r="AH129" s="31">
        <v>44.727564314623969</v>
      </c>
      <c r="AI129" s="32">
        <v>34.473292926968149</v>
      </c>
      <c r="AJ129" s="31">
        <v>37.516854511535868</v>
      </c>
      <c r="AK129" s="31">
        <v>43.686463264554092</v>
      </c>
      <c r="AL129" s="31">
        <v>17.659361433825978</v>
      </c>
      <c r="AM129" s="31">
        <v>122.1050296357424</v>
      </c>
      <c r="AN129" s="31">
        <v>64.515645158008198</v>
      </c>
      <c r="AO129" s="31">
        <v>30.686739085976669</v>
      </c>
      <c r="AP129" s="31">
        <v>33.080657371205007</v>
      </c>
      <c r="AQ129" s="31">
        <v>30.091667403369279</v>
      </c>
      <c r="AR129" s="31">
        <v>55.600202310994973</v>
      </c>
      <c r="AS129" s="31">
        <v>90.12925439571255</v>
      </c>
      <c r="AT129" s="31">
        <v>37.649514705752466</v>
      </c>
      <c r="AU129" s="31">
        <v>59.777985797952667</v>
      </c>
      <c r="AV129" s="31">
        <v>66.525025194181652</v>
      </c>
      <c r="AW129" s="31">
        <v>27.705587553956452</v>
      </c>
      <c r="AX129" s="31">
        <v>35.258712083465994</v>
      </c>
      <c r="AY129" s="31">
        <v>43.1481407239311</v>
      </c>
      <c r="AZ129" s="31">
        <v>94.112896001135013</v>
      </c>
      <c r="BA129" s="31">
        <v>40.21114532908031</v>
      </c>
      <c r="BB129" s="31">
        <v>74.023333898294155</v>
      </c>
      <c r="BC129" s="31">
        <v>70.046024617266895</v>
      </c>
      <c r="BD129" s="31">
        <v>84.439318519380265</v>
      </c>
      <c r="BE129" s="31">
        <v>31.353417706071877</v>
      </c>
      <c r="BF129" s="31">
        <v>50.788289412850638</v>
      </c>
      <c r="BG129" s="31">
        <v>98.561542837882385</v>
      </c>
      <c r="BH129" s="31">
        <v>61.077226799147304</v>
      </c>
      <c r="BI129" s="31">
        <v>56.641937472712101</v>
      </c>
      <c r="BJ129" s="31">
        <v>32.551498802989329</v>
      </c>
      <c r="BK129" s="31">
        <v>71.777761648778707</v>
      </c>
      <c r="BL129" s="31">
        <v>51.733197152117079</v>
      </c>
      <c r="BM129" s="31">
        <v>23.381533240598944</v>
      </c>
      <c r="BN129" s="31">
        <v>36.054964827746446</v>
      </c>
      <c r="BO129" s="31">
        <v>20.620600886183635</v>
      </c>
      <c r="BP129" s="32">
        <v>53.070428257248082</v>
      </c>
      <c r="BQ129" s="31">
        <v>15.750724706657163</v>
      </c>
      <c r="BR129" s="31">
        <v>25.180968048389204</v>
      </c>
      <c r="BS129" s="31">
        <v>7.7531556045231715</v>
      </c>
      <c r="BT129" s="31">
        <v>14.878841222669102</v>
      </c>
      <c r="BU129" s="31">
        <v>34.436542819455212</v>
      </c>
      <c r="BV129" s="31">
        <v>36.870809548969326</v>
      </c>
      <c r="BW129" s="31">
        <v>16.751194706779362</v>
      </c>
      <c r="BX129" s="31">
        <v>39.951497877898113</v>
      </c>
      <c r="BY129" s="31">
        <v>27.583635218344508</v>
      </c>
      <c r="BZ129" s="31">
        <v>0.2835127972633264</v>
      </c>
      <c r="CA129" s="31">
        <v>12.203343273739009</v>
      </c>
      <c r="CB129" s="31">
        <v>19.292568007194618</v>
      </c>
      <c r="CC129" s="31">
        <v>86.290217470003157</v>
      </c>
      <c r="CD129" s="31">
        <v>37.023271762116089</v>
      </c>
      <c r="CE129" s="31">
        <v>3.1623617612497363</v>
      </c>
      <c r="CF129" s="31">
        <v>45.609807467409851</v>
      </c>
      <c r="CG129" s="32">
        <v>54.252523826530364</v>
      </c>
    </row>
    <row r="130" spans="1:85" x14ac:dyDescent="0.3">
      <c r="A130" s="30" t="s">
        <v>149</v>
      </c>
      <c r="B130" s="31">
        <v>12.402381939799517</v>
      </c>
      <c r="C130" s="31">
        <v>9.623778819618936</v>
      </c>
      <c r="D130" s="31">
        <v>10.241747399378239</v>
      </c>
      <c r="E130" s="31">
        <v>24.433185360529617</v>
      </c>
      <c r="F130" s="31">
        <v>16.228426962380794</v>
      </c>
      <c r="G130" s="31">
        <v>29.039502872324128</v>
      </c>
      <c r="H130" s="31">
        <v>30.821768871448445</v>
      </c>
      <c r="I130" s="31">
        <v>10.270203069285591</v>
      </c>
      <c r="J130" s="31">
        <v>22.333239956331482</v>
      </c>
      <c r="K130" s="31">
        <v>24.571903806825595</v>
      </c>
      <c r="L130" s="31">
        <v>14.326287521869121</v>
      </c>
      <c r="M130" s="31">
        <v>47.633168530359491</v>
      </c>
      <c r="N130" s="31">
        <v>38.25324316186461</v>
      </c>
      <c r="O130" s="31">
        <v>49.602402939698599</v>
      </c>
      <c r="P130" s="31">
        <v>58.016034235807105</v>
      </c>
      <c r="Q130" s="31">
        <v>22.252703872460891</v>
      </c>
      <c r="R130" s="31">
        <v>28.135908738158584</v>
      </c>
      <c r="S130" s="31">
        <v>67.469076004375211</v>
      </c>
      <c r="T130" s="31">
        <v>24.64493473055472</v>
      </c>
      <c r="U130" s="31">
        <v>50.751493432895806</v>
      </c>
      <c r="V130" s="31">
        <v>27.587486507238843</v>
      </c>
      <c r="W130" s="31">
        <v>56.153377160928478</v>
      </c>
      <c r="X130" s="31">
        <v>58.013753447206753</v>
      </c>
      <c r="Y130" s="31">
        <v>24.668470539560701</v>
      </c>
      <c r="Z130" s="31">
        <v>23.061332942572669</v>
      </c>
      <c r="AA130" s="31">
        <v>39.179082440212497</v>
      </c>
      <c r="AB130" s="31">
        <v>20.395028731096726</v>
      </c>
      <c r="AC130" s="31">
        <v>24.661621740880332</v>
      </c>
      <c r="AD130" s="31">
        <v>65.089903537283618</v>
      </c>
      <c r="AE130" s="31">
        <v>35.995660971332242</v>
      </c>
      <c r="AF130" s="31">
        <v>16.542229385149223</v>
      </c>
      <c r="AG130" s="31">
        <v>16.019307267867706</v>
      </c>
      <c r="AH130" s="31">
        <v>19.868896406378358</v>
      </c>
      <c r="AI130" s="32">
        <v>18.629242890692069</v>
      </c>
      <c r="AJ130" s="31">
        <v>18.575966539478397</v>
      </c>
      <c r="AK130" s="31">
        <v>19.175858044350825</v>
      </c>
      <c r="AL130" s="31">
        <v>8.5330979883072011</v>
      </c>
      <c r="AM130" s="31">
        <v>41.744574571690862</v>
      </c>
      <c r="AN130" s="31">
        <v>32.602732890527406</v>
      </c>
      <c r="AO130" s="31">
        <v>15.582224194706505</v>
      </c>
      <c r="AP130" s="31">
        <v>15.592804689985147</v>
      </c>
      <c r="AQ130" s="31">
        <v>14.205709601944594</v>
      </c>
      <c r="AR130" s="31">
        <v>27.16048880498494</v>
      </c>
      <c r="AS130" s="31">
        <v>34.637227843678112</v>
      </c>
      <c r="AT130" s="31">
        <v>19.712883739305596</v>
      </c>
      <c r="AU130" s="31">
        <v>34.32883726032491</v>
      </c>
      <c r="AV130" s="31">
        <v>29.144285985138726</v>
      </c>
      <c r="AW130" s="31">
        <v>13.167460610462282</v>
      </c>
      <c r="AX130" s="31">
        <v>13.379950254123761</v>
      </c>
      <c r="AY130" s="31">
        <v>18.255080625937708</v>
      </c>
      <c r="AZ130" s="31">
        <v>39.780602079264504</v>
      </c>
      <c r="BA130" s="31">
        <v>19.87511933488981</v>
      </c>
      <c r="BB130" s="31">
        <v>40.213879025221445</v>
      </c>
      <c r="BC130" s="31">
        <v>24.070784146252659</v>
      </c>
      <c r="BD130" s="31">
        <v>28.814199117041944</v>
      </c>
      <c r="BE130" s="31">
        <v>13.431957675278536</v>
      </c>
      <c r="BF130" s="31">
        <v>26.710750006880414</v>
      </c>
      <c r="BG130" s="31">
        <v>32.471376063282953</v>
      </c>
      <c r="BH130" s="31">
        <v>20.127412976528799</v>
      </c>
      <c r="BI130" s="31">
        <v>22.4903172299516</v>
      </c>
      <c r="BJ130" s="31">
        <v>14.060564153274811</v>
      </c>
      <c r="BK130" s="31">
        <v>29.878005149416399</v>
      </c>
      <c r="BL130" s="31">
        <v>22.966338503826282</v>
      </c>
      <c r="BM130" s="31">
        <v>10.616545889130169</v>
      </c>
      <c r="BN130" s="31">
        <v>11.637440159401894</v>
      </c>
      <c r="BO130" s="31">
        <v>10.835617792511279</v>
      </c>
      <c r="BP130" s="32">
        <v>24.034534101637391</v>
      </c>
      <c r="BQ130" s="31">
        <v>5.7321536737785319</v>
      </c>
      <c r="BR130" s="31">
        <v>11.164832815630101</v>
      </c>
      <c r="BS130" s="31">
        <v>3.7170126051738692</v>
      </c>
      <c r="BT130" s="31">
        <v>7.17562089080874</v>
      </c>
      <c r="BU130" s="31">
        <v>18.232077897293145</v>
      </c>
      <c r="BV130" s="31">
        <v>16.634739534458831</v>
      </c>
      <c r="BW130" s="31">
        <v>5.7756084474798186</v>
      </c>
      <c r="BX130" s="31">
        <v>22.022411136746658</v>
      </c>
      <c r="BY130" s="31">
        <v>12.206320640111931</v>
      </c>
      <c r="BZ130" s="31">
        <v>4.729948186905613E-2</v>
      </c>
      <c r="CA130" s="31">
        <v>5.4669282455283703</v>
      </c>
      <c r="CB130" s="31">
        <v>8.1214473405864727</v>
      </c>
      <c r="CC130" s="31">
        <v>33.089274460168177</v>
      </c>
      <c r="CD130" s="31">
        <v>12.367065987819503</v>
      </c>
      <c r="CE130" s="31">
        <v>1.1910893148196182</v>
      </c>
      <c r="CF130" s="31">
        <v>22.934570943132329</v>
      </c>
      <c r="CG130" s="32">
        <v>22.208652862108188</v>
      </c>
    </row>
    <row r="131" spans="1:85" x14ac:dyDescent="0.3">
      <c r="A131" s="30" t="s">
        <v>150</v>
      </c>
      <c r="B131" s="31">
        <v>620.44579022051892</v>
      </c>
      <c r="C131" s="31">
        <v>524.87952011292271</v>
      </c>
      <c r="D131" s="31">
        <v>2484.8443449957754</v>
      </c>
      <c r="E131" s="31">
        <v>314.05250240441489</v>
      </c>
      <c r="F131" s="31">
        <v>391.28129210806287</v>
      </c>
      <c r="G131" s="31">
        <v>495.78386309811492</v>
      </c>
      <c r="H131" s="31">
        <v>1084.9248318154414</v>
      </c>
      <c r="I131" s="31">
        <v>252.94598728024027</v>
      </c>
      <c r="J131" s="31">
        <v>902.04028871916012</v>
      </c>
      <c r="K131" s="31">
        <v>517.99090184754425</v>
      </c>
      <c r="L131" s="31">
        <v>7.9912608584384541</v>
      </c>
      <c r="M131" s="31">
        <v>21.236795801111292</v>
      </c>
      <c r="N131" s="31">
        <v>24.207114899128495</v>
      </c>
      <c r="O131" s="31">
        <v>20.863088704636844</v>
      </c>
      <c r="P131" s="31">
        <v>20.299555455942002</v>
      </c>
      <c r="Q131" s="31">
        <v>10.491693288004612</v>
      </c>
      <c r="R131" s="31">
        <v>12.148159872743088</v>
      </c>
      <c r="S131" s="31">
        <v>24.295365575012539</v>
      </c>
      <c r="T131" s="31">
        <v>10.809091727488436</v>
      </c>
      <c r="U131" s="31">
        <v>27.479364155437406</v>
      </c>
      <c r="V131" s="31">
        <v>10.443566021722321</v>
      </c>
      <c r="W131" s="31">
        <v>29.551024116292513</v>
      </c>
      <c r="X131" s="31">
        <v>18.955078009670064</v>
      </c>
      <c r="Y131" s="31">
        <v>10.372888793586016</v>
      </c>
      <c r="Z131" s="31">
        <v>9.7337621130488809</v>
      </c>
      <c r="AA131" s="31">
        <v>23.220288013300156</v>
      </c>
      <c r="AB131" s="31">
        <v>10.520457680055014</v>
      </c>
      <c r="AC131" s="31">
        <v>12.488196940654611</v>
      </c>
      <c r="AD131" s="31">
        <v>22.964320244941991</v>
      </c>
      <c r="AE131" s="31">
        <v>16.867375042962323</v>
      </c>
      <c r="AF131" s="31">
        <v>1219.2174916028534</v>
      </c>
      <c r="AG131" s="31">
        <v>220.99236047121752</v>
      </c>
      <c r="AH131" s="31">
        <v>622.07099739403031</v>
      </c>
      <c r="AI131" s="32">
        <v>266.88573465619129</v>
      </c>
      <c r="AJ131" s="31">
        <v>483.41337647147702</v>
      </c>
      <c r="AK131" s="31">
        <v>414.97972211941544</v>
      </c>
      <c r="AL131" s="31">
        <v>536.26114140865434</v>
      </c>
      <c r="AM131" s="31">
        <v>514.70479312988527</v>
      </c>
      <c r="AN131" s="31">
        <v>407.94547034356697</v>
      </c>
      <c r="AO131" s="31">
        <v>1716.3590113467485</v>
      </c>
      <c r="AP131" s="31">
        <v>776.57841673125165</v>
      </c>
      <c r="AQ131" s="31">
        <v>2145.3998151404576</v>
      </c>
      <c r="AR131" s="31">
        <v>523.96536059156495</v>
      </c>
      <c r="AS131" s="31">
        <v>834.3755118572883</v>
      </c>
      <c r="AT131" s="31">
        <v>235.97870534489323</v>
      </c>
      <c r="AU131" s="31">
        <v>415.65744229868938</v>
      </c>
      <c r="AV131" s="31">
        <v>392.04098165933453</v>
      </c>
      <c r="AW131" s="31">
        <v>645.57661672803476</v>
      </c>
      <c r="AX131" s="31">
        <v>2382.5264145990022</v>
      </c>
      <c r="AY131" s="31">
        <v>923.35798733990566</v>
      </c>
      <c r="AZ131" s="31">
        <v>597.14848394985813</v>
      </c>
      <c r="BA131" s="31">
        <v>526.25622181292465</v>
      </c>
      <c r="BB131" s="31">
        <v>563.20518039705473</v>
      </c>
      <c r="BC131" s="31">
        <v>453.53580542918053</v>
      </c>
      <c r="BD131" s="31">
        <v>1083.9905860924105</v>
      </c>
      <c r="BE131" s="31">
        <v>159.03358585033047</v>
      </c>
      <c r="BF131" s="31">
        <v>457.66716023009593</v>
      </c>
      <c r="BG131" s="31">
        <v>566.72059755491296</v>
      </c>
      <c r="BH131" s="31">
        <v>1108.54475489584</v>
      </c>
      <c r="BI131" s="31">
        <v>363.83743558195903</v>
      </c>
      <c r="BJ131" s="31">
        <v>426.84492911390316</v>
      </c>
      <c r="BK131" s="31">
        <v>519.66273077599897</v>
      </c>
      <c r="BL131" s="31">
        <v>862.37825189859257</v>
      </c>
      <c r="BM131" s="31">
        <v>313.67643451693931</v>
      </c>
      <c r="BN131" s="31">
        <v>132.38559988568716</v>
      </c>
      <c r="BO131" s="31">
        <v>163.87530876130495</v>
      </c>
      <c r="BP131" s="32">
        <v>642.45593004352065</v>
      </c>
      <c r="BQ131" s="31">
        <v>304.87126458847854</v>
      </c>
      <c r="BR131" s="31">
        <v>245.29416099817701</v>
      </c>
      <c r="BS131" s="31">
        <v>290.61772736260883</v>
      </c>
      <c r="BT131" s="31">
        <v>171.49675149569802</v>
      </c>
      <c r="BU131" s="31">
        <v>316.05626211401091</v>
      </c>
      <c r="BV131" s="31">
        <v>423.53995572630805</v>
      </c>
      <c r="BW131" s="31">
        <v>619.42171608624847</v>
      </c>
      <c r="BX131" s="31">
        <v>469.15656434282931</v>
      </c>
      <c r="BY131" s="31">
        <v>374.02186181639524</v>
      </c>
      <c r="BZ131" s="31">
        <v>0.48912071530437518</v>
      </c>
      <c r="CA131" s="31">
        <v>499.88217198440447</v>
      </c>
      <c r="CB131" s="31">
        <v>527.80725057347968</v>
      </c>
      <c r="CC131" s="31">
        <v>611.26788682129313</v>
      </c>
      <c r="CD131" s="31">
        <v>239.89972592445204</v>
      </c>
      <c r="CE131" s="31">
        <v>51.280207060632662</v>
      </c>
      <c r="CF131" s="31">
        <v>533.29700263191296</v>
      </c>
      <c r="CG131" s="32">
        <v>618.15175660628813</v>
      </c>
    </row>
    <row r="132" spans="1:85" x14ac:dyDescent="0.3">
      <c r="A132" s="30" t="s">
        <v>151</v>
      </c>
      <c r="B132" s="31">
        <v>15499.24979213834</v>
      </c>
      <c r="C132" s="31">
        <v>17165.126266374224</v>
      </c>
      <c r="D132" s="31">
        <v>19456.476996214224</v>
      </c>
      <c r="E132" s="31">
        <v>27388.703816778248</v>
      </c>
      <c r="F132" s="31">
        <v>20108.596585977459</v>
      </c>
      <c r="G132" s="31">
        <v>33575.488057325703</v>
      </c>
      <c r="H132" s="31">
        <v>37714.42070000188</v>
      </c>
      <c r="I132" s="31">
        <v>12934.370496806967</v>
      </c>
      <c r="J132" s="31">
        <v>29036.886503930305</v>
      </c>
      <c r="K132" s="31">
        <v>25635.650262254621</v>
      </c>
      <c r="L132" s="31">
        <v>362.41256009120212</v>
      </c>
      <c r="M132" s="31">
        <v>721.26406315558575</v>
      </c>
      <c r="N132" s="31">
        <v>376.7370150726</v>
      </c>
      <c r="O132" s="31">
        <v>387.56120620348787</v>
      </c>
      <c r="P132" s="31">
        <v>541.70540631003405</v>
      </c>
      <c r="Q132" s="31">
        <v>188.00456899157851</v>
      </c>
      <c r="R132" s="31">
        <v>475.66805733011387</v>
      </c>
      <c r="S132" s="31">
        <v>406.2293459986451</v>
      </c>
      <c r="T132" s="31">
        <v>208.50161791306971</v>
      </c>
      <c r="U132" s="31">
        <v>474.74448113183598</v>
      </c>
      <c r="V132" s="31">
        <v>122.6495081001712</v>
      </c>
      <c r="W132" s="31">
        <v>630.1660308013129</v>
      </c>
      <c r="X132" s="31">
        <v>458.36055199310948</v>
      </c>
      <c r="Y132" s="31">
        <v>593.23238396125726</v>
      </c>
      <c r="Z132" s="31">
        <v>570.58333585105265</v>
      </c>
      <c r="AA132" s="31">
        <v>266.47867918451334</v>
      </c>
      <c r="AB132" s="31">
        <v>230.76589512974084</v>
      </c>
      <c r="AC132" s="31">
        <v>299.96685598658098</v>
      </c>
      <c r="AD132" s="31">
        <v>455.74141356916135</v>
      </c>
      <c r="AE132" s="31">
        <v>656.447225416116</v>
      </c>
      <c r="AF132" s="31">
        <v>40030.559924509231</v>
      </c>
      <c r="AG132" s="31">
        <v>27585.256810208681</v>
      </c>
      <c r="AH132" s="31">
        <v>31674.952942903969</v>
      </c>
      <c r="AI132" s="32">
        <v>26281.847500906973</v>
      </c>
      <c r="AJ132" s="31">
        <v>30940.543057187453</v>
      </c>
      <c r="AK132" s="31">
        <v>27625.612921727519</v>
      </c>
      <c r="AL132" s="31">
        <v>20883.726955396847</v>
      </c>
      <c r="AM132" s="31">
        <v>58145.117595456482</v>
      </c>
      <c r="AN132" s="31">
        <v>41338.8659177113</v>
      </c>
      <c r="AO132" s="31">
        <v>28800.174351934795</v>
      </c>
      <c r="AP132" s="31">
        <v>38168.48804047273</v>
      </c>
      <c r="AQ132" s="31">
        <v>34361.838797273791</v>
      </c>
      <c r="AR132" s="31">
        <v>36911.300801721241</v>
      </c>
      <c r="AS132" s="31">
        <v>57385.158847440558</v>
      </c>
      <c r="AT132" s="31">
        <v>26376.195334591379</v>
      </c>
      <c r="AU132" s="31">
        <v>41336.682303411384</v>
      </c>
      <c r="AV132" s="31">
        <v>35581.012305260861</v>
      </c>
      <c r="AW132" s="31">
        <v>28709.145130448807</v>
      </c>
      <c r="AX132" s="31">
        <v>24907.581705304161</v>
      </c>
      <c r="AY132" s="31">
        <v>42341.026435567153</v>
      </c>
      <c r="AZ132" s="31">
        <v>54897.515524720802</v>
      </c>
      <c r="BA132" s="31">
        <v>24514.187340419812</v>
      </c>
      <c r="BB132" s="31">
        <v>49226.191808757103</v>
      </c>
      <c r="BC132" s="31">
        <v>23994.949575112754</v>
      </c>
      <c r="BD132" s="31">
        <v>39887.895187326823</v>
      </c>
      <c r="BE132" s="31">
        <v>15246.979464489614</v>
      </c>
      <c r="BF132" s="31">
        <v>23096.424397530707</v>
      </c>
      <c r="BG132" s="31">
        <v>38892.766391188256</v>
      </c>
      <c r="BH132" s="31">
        <v>28591.207613200299</v>
      </c>
      <c r="BI132" s="31">
        <v>25124.157731960502</v>
      </c>
      <c r="BJ132" s="31">
        <v>17490.486339311283</v>
      </c>
      <c r="BK132" s="31">
        <v>30089.585327729998</v>
      </c>
      <c r="BL132" s="31">
        <v>26183.461339683738</v>
      </c>
      <c r="BM132" s="31">
        <v>15127.257432152197</v>
      </c>
      <c r="BN132" s="31">
        <v>13082.266470267274</v>
      </c>
      <c r="BO132" s="31">
        <v>11556.548772992455</v>
      </c>
      <c r="BP132" s="32">
        <v>27831.344953375035</v>
      </c>
      <c r="BQ132" s="31">
        <v>7373.3029678338362</v>
      </c>
      <c r="BR132" s="31">
        <v>11164.370606214701</v>
      </c>
      <c r="BS132" s="31">
        <v>3681.7657134089732</v>
      </c>
      <c r="BT132" s="31">
        <v>8711.9530982322303</v>
      </c>
      <c r="BU132" s="31">
        <v>16681.189867224322</v>
      </c>
      <c r="BV132" s="31">
        <v>19721.053710148833</v>
      </c>
      <c r="BW132" s="31">
        <v>8525.987374067181</v>
      </c>
      <c r="BX132" s="31">
        <v>22974.179687217234</v>
      </c>
      <c r="BY132" s="31">
        <v>17155.13018042285</v>
      </c>
      <c r="BZ132" s="31">
        <v>45.207882430440947</v>
      </c>
      <c r="CA132" s="31">
        <v>19377.218753336776</v>
      </c>
      <c r="CB132" s="31">
        <v>15439.276407799514</v>
      </c>
      <c r="CC132" s="31">
        <v>36374.319363099268</v>
      </c>
      <c r="CD132" s="31">
        <v>17709.175883186705</v>
      </c>
      <c r="CE132" s="31">
        <v>1594.2806630123732</v>
      </c>
      <c r="CF132" s="31">
        <v>21851.905089930984</v>
      </c>
      <c r="CG132" s="32">
        <v>29089.779995790508</v>
      </c>
    </row>
    <row r="133" spans="1:85" x14ac:dyDescent="0.3">
      <c r="A133" s="30" t="s">
        <v>152</v>
      </c>
      <c r="B133" s="31">
        <v>11.116722475293729</v>
      </c>
      <c r="C133" s="31">
        <v>10.449707790654417</v>
      </c>
      <c r="D133" s="31">
        <v>12.051198780187555</v>
      </c>
      <c r="E133" s="31">
        <v>16.104355211592946</v>
      </c>
      <c r="F133" s="31">
        <v>14.015726050737456</v>
      </c>
      <c r="G133" s="31">
        <v>23.793648036402562</v>
      </c>
      <c r="H133" s="31">
        <v>27.182729335990995</v>
      </c>
      <c r="I133" s="31">
        <v>6.7429256518839145</v>
      </c>
      <c r="J133" s="31">
        <v>21.768888574792264</v>
      </c>
      <c r="K133" s="31">
        <v>15.755647366255987</v>
      </c>
      <c r="L133" s="31">
        <v>12932.753775227064</v>
      </c>
      <c r="M133" s="31">
        <v>30275.922049751462</v>
      </c>
      <c r="N133" s="31">
        <v>24102.309378044651</v>
      </c>
      <c r="O133" s="31">
        <v>28835.403325215411</v>
      </c>
      <c r="P133" s="31">
        <v>33464.890715229805</v>
      </c>
      <c r="Q133" s="31">
        <v>12689.957170694906</v>
      </c>
      <c r="R133" s="31">
        <v>19991.375695045499</v>
      </c>
      <c r="S133" s="31">
        <v>39254.911832952195</v>
      </c>
      <c r="T133" s="31">
        <v>14134.64520130432</v>
      </c>
      <c r="U133" s="31">
        <v>34384.057762243596</v>
      </c>
      <c r="V133" s="31">
        <v>14502.396183842407</v>
      </c>
      <c r="W133" s="31">
        <v>31616.341324948236</v>
      </c>
      <c r="X133" s="31">
        <v>33573.614585712909</v>
      </c>
      <c r="Y133" s="31">
        <v>26884.058907967206</v>
      </c>
      <c r="Z133" s="31">
        <v>25634.359288529089</v>
      </c>
      <c r="AA133" s="31">
        <v>21402.471841563976</v>
      </c>
      <c r="AB133" s="31">
        <v>15099.963907331245</v>
      </c>
      <c r="AC133" s="31">
        <v>17342.308762768676</v>
      </c>
      <c r="AD133" s="31">
        <v>33517.508619107946</v>
      </c>
      <c r="AE133" s="31">
        <v>21289.481881979638</v>
      </c>
      <c r="AF133" s="31">
        <v>15.5870999923903</v>
      </c>
      <c r="AG133" s="31">
        <v>10.790057167144818</v>
      </c>
      <c r="AH133" s="31">
        <v>17.639090835067034</v>
      </c>
      <c r="AI133" s="32">
        <v>11.936966511547555</v>
      </c>
      <c r="AJ133" s="31">
        <v>14.742752988663032</v>
      </c>
      <c r="AK133" s="31">
        <v>15.54837236014583</v>
      </c>
      <c r="AL133" s="31">
        <v>6.496077423606593</v>
      </c>
      <c r="AM133" s="31">
        <v>31.957283042452175</v>
      </c>
      <c r="AN133" s="31">
        <v>22.0701554967129</v>
      </c>
      <c r="AO133" s="31">
        <v>13.828855431272487</v>
      </c>
      <c r="AP133" s="31">
        <v>15.267316192668975</v>
      </c>
      <c r="AQ133" s="31">
        <v>14.799901006562987</v>
      </c>
      <c r="AR133" s="31">
        <v>18.884356568575999</v>
      </c>
      <c r="AS133" s="31">
        <v>30.330127313483754</v>
      </c>
      <c r="AT133" s="31">
        <v>11.345466156051378</v>
      </c>
      <c r="AU133" s="31">
        <v>18.257726317435594</v>
      </c>
      <c r="AV133" s="31">
        <v>17.078454104280436</v>
      </c>
      <c r="AW133" s="31">
        <v>13.652080533329073</v>
      </c>
      <c r="AX133" s="31">
        <v>22.572660855915309</v>
      </c>
      <c r="AY133" s="31">
        <v>19.591620509618863</v>
      </c>
      <c r="AZ133" s="31">
        <v>29.057355729601802</v>
      </c>
      <c r="BA133" s="31">
        <v>14.337740232881673</v>
      </c>
      <c r="BB133" s="31">
        <v>21.359515439715224</v>
      </c>
      <c r="BC133" s="31">
        <v>14.041438105219807</v>
      </c>
      <c r="BD133" s="31">
        <v>33.730686990561644</v>
      </c>
      <c r="BE133" s="31">
        <v>8.7107579508386124</v>
      </c>
      <c r="BF133" s="31">
        <v>13.53491560367833</v>
      </c>
      <c r="BG133" s="31">
        <v>24.87925112731266</v>
      </c>
      <c r="BH133" s="31">
        <v>20.837112184087101</v>
      </c>
      <c r="BI133" s="31">
        <v>16.381719275675998</v>
      </c>
      <c r="BJ133" s="31">
        <v>12.875623903840005</v>
      </c>
      <c r="BK133" s="31">
        <v>23.181123004028802</v>
      </c>
      <c r="BL133" s="31">
        <v>20.797382538557166</v>
      </c>
      <c r="BM133" s="31">
        <v>8.8720560375039774</v>
      </c>
      <c r="BN133" s="31">
        <v>7.2209482981051352</v>
      </c>
      <c r="BO133" s="31">
        <v>6.4524642004277277</v>
      </c>
      <c r="BP133" s="32">
        <v>19.777626003385972</v>
      </c>
      <c r="BQ133" s="31">
        <v>9.1630963825426903</v>
      </c>
      <c r="BR133" s="31">
        <v>8.811202228449929</v>
      </c>
      <c r="BS133" s="31">
        <v>4.4789286310478014</v>
      </c>
      <c r="BT133" s="31">
        <v>4.7679033985737602</v>
      </c>
      <c r="BU133" s="31">
        <v>10.556055684153632</v>
      </c>
      <c r="BV133" s="31">
        <v>13.472866891713535</v>
      </c>
      <c r="BW133" s="31">
        <v>7.4970854691668887</v>
      </c>
      <c r="BX133" s="31">
        <v>13.770644755452706</v>
      </c>
      <c r="BY133" s="31">
        <v>11.106716789579387</v>
      </c>
      <c r="BZ133" s="31">
        <v>0.21810420308717096</v>
      </c>
      <c r="CA133" s="31">
        <v>8.7575890960151987</v>
      </c>
      <c r="CB133" s="31">
        <v>10.607194938707162</v>
      </c>
      <c r="CC133" s="31">
        <v>28.192048769909114</v>
      </c>
      <c r="CD133" s="31">
        <v>10.644930270056975</v>
      </c>
      <c r="CE133" s="31">
        <v>1.2654627749123535</v>
      </c>
      <c r="CF133" s="31">
        <v>14.584856218173474</v>
      </c>
      <c r="CG133" s="32">
        <v>21.073780960365681</v>
      </c>
    </row>
    <row r="134" spans="1:85" x14ac:dyDescent="0.3">
      <c r="A134" s="30" t="s">
        <v>153</v>
      </c>
      <c r="B134" s="31">
        <v>23.541420496039621</v>
      </c>
      <c r="C134" s="31">
        <v>21.53773145707952</v>
      </c>
      <c r="D134" s="31">
        <v>17.340297107997554</v>
      </c>
      <c r="E134" s="31">
        <v>34.985040315230208</v>
      </c>
      <c r="F134" s="31">
        <v>29.252244921566284</v>
      </c>
      <c r="G134" s="31">
        <v>40.063517118210505</v>
      </c>
      <c r="H134" s="31">
        <v>50.947124659221494</v>
      </c>
      <c r="I134" s="31">
        <v>16.836592131025299</v>
      </c>
      <c r="J134" s="31">
        <v>41.411316389754525</v>
      </c>
      <c r="K134" s="31">
        <v>36.594792497111285</v>
      </c>
      <c r="L134" s="31">
        <v>4.9292341520894034</v>
      </c>
      <c r="M134" s="31">
        <v>15.901693631008902</v>
      </c>
      <c r="N134" s="31">
        <v>11.893018714089777</v>
      </c>
      <c r="O134" s="31">
        <v>18.645895849054153</v>
      </c>
      <c r="P134" s="31">
        <v>18.790536925030299</v>
      </c>
      <c r="Q134" s="31">
        <v>6.5042802687650809</v>
      </c>
      <c r="R134" s="31">
        <v>9.5342364467403176</v>
      </c>
      <c r="S134" s="31">
        <v>18.546364698316975</v>
      </c>
      <c r="T134" s="31">
        <v>7.2603976937384251</v>
      </c>
      <c r="U134" s="31">
        <v>14.451914061046001</v>
      </c>
      <c r="V134" s="31">
        <v>6.2136529947358632</v>
      </c>
      <c r="W134" s="31">
        <v>14.452222257362799</v>
      </c>
      <c r="X134" s="31">
        <v>17.239140355603489</v>
      </c>
      <c r="Y134" s="31">
        <v>8.0301723948203403</v>
      </c>
      <c r="Z134" s="31">
        <v>7.6144766675882272</v>
      </c>
      <c r="AA134" s="31">
        <v>10.995619531853896</v>
      </c>
      <c r="AB134" s="31">
        <v>6.7788252254175472</v>
      </c>
      <c r="AC134" s="31">
        <v>7.7982264210710239</v>
      </c>
      <c r="AD134" s="31">
        <v>18.160444902868182</v>
      </c>
      <c r="AE134" s="31">
        <v>12.984117884048089</v>
      </c>
      <c r="AF134" s="31">
        <v>26.724558578578637</v>
      </c>
      <c r="AG134" s="31">
        <v>24.660731356928391</v>
      </c>
      <c r="AH134" s="31">
        <v>37.087762511784682</v>
      </c>
      <c r="AI134" s="32">
        <v>28.479695347475204</v>
      </c>
      <c r="AJ134" s="31">
        <v>33.89224387305476</v>
      </c>
      <c r="AK134" s="31">
        <v>29.968269986849961</v>
      </c>
      <c r="AL134" s="31">
        <v>13.099807117061648</v>
      </c>
      <c r="AM134" s="31">
        <v>53.681812796959541</v>
      </c>
      <c r="AN134" s="31">
        <v>46.204147281380195</v>
      </c>
      <c r="AO134" s="31">
        <v>21.339401373938731</v>
      </c>
      <c r="AP134" s="31">
        <v>31.982761538923825</v>
      </c>
      <c r="AQ134" s="31">
        <v>23.394489153369381</v>
      </c>
      <c r="AR134" s="31">
        <v>40.246340615883774</v>
      </c>
      <c r="AS134" s="31">
        <v>48.859382091819526</v>
      </c>
      <c r="AT134" s="31">
        <v>28.146528957740205</v>
      </c>
      <c r="AU134" s="31">
        <v>42.123715604380997</v>
      </c>
      <c r="AV134" s="31">
        <v>50.215169778511388</v>
      </c>
      <c r="AW134" s="31">
        <v>26.49508057419909</v>
      </c>
      <c r="AX134" s="31">
        <v>37.712717089188885</v>
      </c>
      <c r="AY134" s="31">
        <v>39.140912031980804</v>
      </c>
      <c r="AZ134" s="31">
        <v>49.863966888738297</v>
      </c>
      <c r="BA134" s="31">
        <v>27.864031751320109</v>
      </c>
      <c r="BB134" s="31">
        <v>50.834477471871367</v>
      </c>
      <c r="BC134" s="31">
        <v>31.391430498507166</v>
      </c>
      <c r="BD134" s="31">
        <v>53.631493971376401</v>
      </c>
      <c r="BE134" s="31">
        <v>19.461818733238733</v>
      </c>
      <c r="BF134" s="31">
        <v>31.561733229377229</v>
      </c>
      <c r="BG134" s="31">
        <v>45.514678743515411</v>
      </c>
      <c r="BH134" s="31">
        <v>30.726426088677602</v>
      </c>
      <c r="BI134" s="31">
        <v>33.088066799419998</v>
      </c>
      <c r="BJ134" s="31">
        <v>26.414416076577073</v>
      </c>
      <c r="BK134" s="31">
        <v>36.4548509379227</v>
      </c>
      <c r="BL134" s="31">
        <v>38.247717634281194</v>
      </c>
      <c r="BM134" s="31">
        <v>18.369346881866825</v>
      </c>
      <c r="BN134" s="31">
        <v>14.993108814298424</v>
      </c>
      <c r="BO134" s="31">
        <v>15.747381050770398</v>
      </c>
      <c r="BP134" s="32">
        <v>38.487001823342219</v>
      </c>
      <c r="BQ134" s="31">
        <v>15.0928818513203</v>
      </c>
      <c r="BR134" s="31">
        <v>19.894552115179202</v>
      </c>
      <c r="BS134" s="31">
        <v>9.4216159155662442</v>
      </c>
      <c r="BT134" s="31">
        <v>10.853410222302699</v>
      </c>
      <c r="BU134" s="31">
        <v>23.457082364673344</v>
      </c>
      <c r="BV134" s="31">
        <v>31.895310211143443</v>
      </c>
      <c r="BW134" s="31">
        <v>14.059874849007594</v>
      </c>
      <c r="BX134" s="31">
        <v>31.611500230374073</v>
      </c>
      <c r="BY134" s="31">
        <v>24.761495621802688</v>
      </c>
      <c r="BZ134" s="31" t="s">
        <v>136</v>
      </c>
      <c r="CA134" s="31">
        <v>10.197333109816993</v>
      </c>
      <c r="CB134" s="31">
        <v>20.563962759320404</v>
      </c>
      <c r="CC134" s="31">
        <v>43.606453147063199</v>
      </c>
      <c r="CD134" s="31">
        <v>22.00115485505879</v>
      </c>
      <c r="CE134" s="31">
        <v>2.8291424659210502</v>
      </c>
      <c r="CF134" s="31">
        <v>29.508120842237719</v>
      </c>
      <c r="CG134" s="32">
        <v>38.066078244461174</v>
      </c>
    </row>
    <row r="135" spans="1:85" x14ac:dyDescent="0.3">
      <c r="A135" s="30" t="s">
        <v>154</v>
      </c>
      <c r="B135" s="31">
        <v>26.362173639245892</v>
      </c>
      <c r="C135" s="31">
        <v>13.770479715793829</v>
      </c>
      <c r="D135" s="31">
        <v>14.222550726891967</v>
      </c>
      <c r="E135" s="31">
        <v>27.450045250353249</v>
      </c>
      <c r="F135" s="31">
        <v>22.777697817413443</v>
      </c>
      <c r="G135" s="31">
        <v>31.061219879010793</v>
      </c>
      <c r="H135" s="31">
        <v>41.645958851430798</v>
      </c>
      <c r="I135" s="31">
        <v>13.768651055246183</v>
      </c>
      <c r="J135" s="31">
        <v>26.294738153257072</v>
      </c>
      <c r="K135" s="31">
        <v>24.81548057468158</v>
      </c>
      <c r="L135" s="31">
        <v>9.6183833171808359</v>
      </c>
      <c r="M135" s="31">
        <v>28.792371534744444</v>
      </c>
      <c r="N135" s="31">
        <v>27.806496035273582</v>
      </c>
      <c r="O135" s="31">
        <v>26.407669848665694</v>
      </c>
      <c r="P135" s="31">
        <v>29.752539324749499</v>
      </c>
      <c r="Q135" s="31">
        <v>12.646752562841277</v>
      </c>
      <c r="R135" s="31">
        <v>20.467981981579634</v>
      </c>
      <c r="S135" s="31">
        <v>28.718325451330696</v>
      </c>
      <c r="T135" s="31">
        <v>14.610118100609714</v>
      </c>
      <c r="U135" s="31">
        <v>30.98703109785</v>
      </c>
      <c r="V135" s="31">
        <v>11.545454059782513</v>
      </c>
      <c r="W135" s="31">
        <v>35.721901391970327</v>
      </c>
      <c r="X135" s="31">
        <v>24.564671407209683</v>
      </c>
      <c r="Y135" s="31">
        <v>16.520422473997606</v>
      </c>
      <c r="Z135" s="31">
        <v>15.273783055384643</v>
      </c>
      <c r="AA135" s="31">
        <v>24.491174276478883</v>
      </c>
      <c r="AB135" s="31">
        <v>14.667005427578605</v>
      </c>
      <c r="AC135" s="31">
        <v>16.802722314931177</v>
      </c>
      <c r="AD135" s="31">
        <v>29.793815885354029</v>
      </c>
      <c r="AE135" s="31">
        <v>27.619198822514356</v>
      </c>
      <c r="AF135" s="31">
        <v>20.844720134507657</v>
      </c>
      <c r="AG135" s="31">
        <v>15.674036328483766</v>
      </c>
      <c r="AH135" s="31">
        <v>28.942526586082131</v>
      </c>
      <c r="AI135" s="32">
        <v>18.33648666435089</v>
      </c>
      <c r="AJ135" s="31">
        <v>18.541512172711084</v>
      </c>
      <c r="AK135" s="31">
        <v>19.510228918726995</v>
      </c>
      <c r="AL135" s="31">
        <v>7.3608577063550653</v>
      </c>
      <c r="AM135" s="31">
        <v>51.19247557741992</v>
      </c>
      <c r="AN135" s="31">
        <v>34.580564455385499</v>
      </c>
      <c r="AO135" s="31">
        <v>16.291860879936774</v>
      </c>
      <c r="AP135" s="31">
        <v>17.588456118510926</v>
      </c>
      <c r="AQ135" s="31">
        <v>22.170813865291461</v>
      </c>
      <c r="AR135" s="31">
        <v>33.603932328992002</v>
      </c>
      <c r="AS135" s="31">
        <v>31.4557368645794</v>
      </c>
      <c r="AT135" s="31">
        <v>18.29982999435844</v>
      </c>
      <c r="AU135" s="31">
        <v>31.298896104054133</v>
      </c>
      <c r="AV135" s="31">
        <v>63.740702163440844</v>
      </c>
      <c r="AW135" s="31">
        <v>14.301526557535206</v>
      </c>
      <c r="AX135" s="31">
        <v>24.14796131559897</v>
      </c>
      <c r="AY135" s="31">
        <v>21.716028769616752</v>
      </c>
      <c r="AZ135" s="31">
        <v>38.706375848598398</v>
      </c>
      <c r="BA135" s="31">
        <v>20.665984031200892</v>
      </c>
      <c r="BB135" s="31">
        <v>44.906199917973638</v>
      </c>
      <c r="BC135" s="31">
        <v>22.844371172556087</v>
      </c>
      <c r="BD135" s="31">
        <v>30.30250782986656</v>
      </c>
      <c r="BE135" s="31">
        <v>12.982854360528046</v>
      </c>
      <c r="BF135" s="31">
        <v>21.253860881344082</v>
      </c>
      <c r="BG135" s="31">
        <v>62.077656511928645</v>
      </c>
      <c r="BH135" s="31">
        <v>23.300566642799101</v>
      </c>
      <c r="BI135" s="31">
        <v>26.397782778031896</v>
      </c>
      <c r="BJ135" s="31">
        <v>19.311499791890007</v>
      </c>
      <c r="BK135" s="31">
        <v>27.892000257876301</v>
      </c>
      <c r="BL135" s="31">
        <v>24.48515097688648</v>
      </c>
      <c r="BM135" s="31">
        <v>10.149968997395169</v>
      </c>
      <c r="BN135" s="31">
        <v>8.4812245435651814</v>
      </c>
      <c r="BO135" s="31">
        <v>10.342907891781866</v>
      </c>
      <c r="BP135" s="32">
        <v>27.163396198227204</v>
      </c>
      <c r="BQ135" s="31">
        <v>12.789604658720789</v>
      </c>
      <c r="BR135" s="31">
        <v>17.880934378931602</v>
      </c>
      <c r="BS135" s="31">
        <v>15.398733220861288</v>
      </c>
      <c r="BT135" s="31">
        <v>7.3192569533616005</v>
      </c>
      <c r="BU135" s="31">
        <v>17.395384209285009</v>
      </c>
      <c r="BV135" s="31">
        <v>27.955369735697857</v>
      </c>
      <c r="BW135" s="31">
        <v>14.112540328499987</v>
      </c>
      <c r="BX135" s="31">
        <v>21.947207933842041</v>
      </c>
      <c r="BY135" s="31">
        <v>16.30281505110349</v>
      </c>
      <c r="BZ135" s="31" t="s">
        <v>136</v>
      </c>
      <c r="CA135" s="31">
        <v>10.823300728156029</v>
      </c>
      <c r="CB135" s="31">
        <v>10.0463181813553</v>
      </c>
      <c r="CC135" s="31">
        <v>34.84066073607805</v>
      </c>
      <c r="CD135" s="31">
        <v>12.194894852147044</v>
      </c>
      <c r="CE135" s="31">
        <v>2.5563411808731877</v>
      </c>
      <c r="CF135" s="31">
        <v>42.589712940048308</v>
      </c>
      <c r="CG135" s="32">
        <v>26.729086492135323</v>
      </c>
    </row>
    <row r="136" spans="1:85" x14ac:dyDescent="0.3">
      <c r="A136" s="30" t="s">
        <v>155</v>
      </c>
      <c r="B136" s="31">
        <v>328.50719904573248</v>
      </c>
      <c r="C136" s="31">
        <v>69.743688801186494</v>
      </c>
      <c r="D136" s="31">
        <v>135.99579867475694</v>
      </c>
      <c r="E136" s="31">
        <v>68.069148582495515</v>
      </c>
      <c r="F136" s="31">
        <v>67.161936074055021</v>
      </c>
      <c r="G136" s="31">
        <v>94.496502481494545</v>
      </c>
      <c r="H136" s="31">
        <v>100.92449472198631</v>
      </c>
      <c r="I136" s="31">
        <v>89.424302002632189</v>
      </c>
      <c r="J136" s="31">
        <v>116.13912717723338</v>
      </c>
      <c r="K136" s="31">
        <v>70.366008876841008</v>
      </c>
      <c r="L136" s="31">
        <v>4.9549447391742669</v>
      </c>
      <c r="M136" s="31">
        <v>21.600149407495138</v>
      </c>
      <c r="N136" s="31">
        <v>17.715426170202068</v>
      </c>
      <c r="O136" s="31">
        <v>20.937280515179058</v>
      </c>
      <c r="P136" s="31">
        <v>16.776480801561402</v>
      </c>
      <c r="Q136" s="31">
        <v>7.4878977451557684</v>
      </c>
      <c r="R136" s="31">
        <v>14.430147913534631</v>
      </c>
      <c r="S136" s="31">
        <v>18.071706050856882</v>
      </c>
      <c r="T136" s="31">
        <v>14.415110261113142</v>
      </c>
      <c r="U136" s="31">
        <v>25.350746231312101</v>
      </c>
      <c r="V136" s="31">
        <v>6.6582288228136175</v>
      </c>
      <c r="W136" s="31">
        <v>37.298514236126231</v>
      </c>
      <c r="X136" s="31">
        <v>18.698168000115157</v>
      </c>
      <c r="Y136" s="31">
        <v>7.6509443516758697</v>
      </c>
      <c r="Z136" s="31">
        <v>7.128737138811311</v>
      </c>
      <c r="AA136" s="31">
        <v>17.637966446138709</v>
      </c>
      <c r="AB136" s="31">
        <v>7.6865459369159348</v>
      </c>
      <c r="AC136" s="31">
        <v>7.7300375309092377</v>
      </c>
      <c r="AD136" s="31">
        <v>23.159837528143164</v>
      </c>
      <c r="AE136" s="31">
        <v>34.31664123110157</v>
      </c>
      <c r="AF136" s="31">
        <v>70.510825496909334</v>
      </c>
      <c r="AG136" s="31">
        <v>65.008251664093237</v>
      </c>
      <c r="AH136" s="31">
        <v>78.222912394805377</v>
      </c>
      <c r="AI136" s="32">
        <v>71.23685378135788</v>
      </c>
      <c r="AJ136" s="31">
        <v>81.49668048089525</v>
      </c>
      <c r="AK136" s="31">
        <v>70.724439578061393</v>
      </c>
      <c r="AL136" s="31">
        <v>24.255874728650316</v>
      </c>
      <c r="AM136" s="31">
        <v>104.92060024057113</v>
      </c>
      <c r="AN136" s="31">
        <v>88.259048857030805</v>
      </c>
      <c r="AO136" s="31">
        <v>126.96127121002667</v>
      </c>
      <c r="AP136" s="31">
        <v>89.636885044293649</v>
      </c>
      <c r="AQ136" s="31">
        <v>170.86935979791568</v>
      </c>
      <c r="AR136" s="31">
        <v>107.00331456804034</v>
      </c>
      <c r="AS136" s="31">
        <v>115.6417630473437</v>
      </c>
      <c r="AT136" s="31">
        <v>68.331021883379734</v>
      </c>
      <c r="AU136" s="31">
        <v>95.984346346373172</v>
      </c>
      <c r="AV136" s="31">
        <v>85.349765528718322</v>
      </c>
      <c r="AW136" s="31">
        <v>51.699131787644973</v>
      </c>
      <c r="AX136" s="31">
        <v>236.05779039972526</v>
      </c>
      <c r="AY136" s="31">
        <v>84.995884644434796</v>
      </c>
      <c r="AZ136" s="31">
        <v>119.53195899658201</v>
      </c>
      <c r="BA136" s="31">
        <v>139.01818418094024</v>
      </c>
      <c r="BB136" s="31">
        <v>100.92730005315475</v>
      </c>
      <c r="BC136" s="31">
        <v>80.603444860431694</v>
      </c>
      <c r="BD136" s="31">
        <v>80.24052783958787</v>
      </c>
      <c r="BE136" s="31">
        <v>46.140048492643345</v>
      </c>
      <c r="BF136" s="31">
        <v>72.337471971245961</v>
      </c>
      <c r="BG136" s="31">
        <v>93.436171973163169</v>
      </c>
      <c r="BH136" s="31">
        <v>85.476720168225697</v>
      </c>
      <c r="BI136" s="31">
        <v>72.635257533224291</v>
      </c>
      <c r="BJ136" s="31">
        <v>80.26724956638239</v>
      </c>
      <c r="BK136" s="31">
        <v>94.071811919028008</v>
      </c>
      <c r="BL136" s="31">
        <v>122.9993536729373</v>
      </c>
      <c r="BM136" s="31">
        <v>47.584409886838536</v>
      </c>
      <c r="BN136" s="31">
        <v>42.550576441268639</v>
      </c>
      <c r="BO136" s="31">
        <v>47.557477408582763</v>
      </c>
      <c r="BP136" s="32">
        <v>81.202194624882097</v>
      </c>
      <c r="BQ136" s="31">
        <v>136.79415228345692</v>
      </c>
      <c r="BR136" s="31">
        <v>126.20171235819599</v>
      </c>
      <c r="BS136" s="31">
        <v>167.72656872939965</v>
      </c>
      <c r="BT136" s="31">
        <v>58.260879642295407</v>
      </c>
      <c r="BU136" s="31">
        <v>58.305139006041202</v>
      </c>
      <c r="BV136" s="31">
        <v>79.075268380505022</v>
      </c>
      <c r="BW136" s="31">
        <v>256.45338061574461</v>
      </c>
      <c r="BX136" s="31">
        <v>85.367844991446432</v>
      </c>
      <c r="BY136" s="31">
        <v>70.599988222757588</v>
      </c>
      <c r="BZ136" s="31" t="s">
        <v>136</v>
      </c>
      <c r="CA136" s="31">
        <v>112.62972795603143</v>
      </c>
      <c r="CB136" s="31">
        <v>48.541736451079046</v>
      </c>
      <c r="CC136" s="31">
        <v>127.74749374690958</v>
      </c>
      <c r="CD136" s="31">
        <v>78.000464659023379</v>
      </c>
      <c r="CE136" s="31">
        <v>28.638164148702167</v>
      </c>
      <c r="CF136" s="31">
        <v>106.45369982020395</v>
      </c>
      <c r="CG136" s="32">
        <v>90.858812433538759</v>
      </c>
    </row>
    <row r="137" spans="1:85" x14ac:dyDescent="0.3">
      <c r="A137" s="30" t="s">
        <v>156</v>
      </c>
      <c r="B137" s="31">
        <v>3.5400041888640992</v>
      </c>
      <c r="C137" s="31">
        <v>3.7279878637296875</v>
      </c>
      <c r="D137" s="31">
        <v>3.6966624721506882</v>
      </c>
      <c r="E137" s="31">
        <v>6.4536258477144637</v>
      </c>
      <c r="F137" s="31">
        <v>5.7173851694331788</v>
      </c>
      <c r="G137" s="31">
        <v>9.618022928850543</v>
      </c>
      <c r="H137" s="31">
        <v>9.9627118750901023</v>
      </c>
      <c r="I137" s="31">
        <v>3.0544449566937759</v>
      </c>
      <c r="J137" s="31">
        <v>7.5815278969080229</v>
      </c>
      <c r="K137" s="31">
        <v>6.8765969475099435</v>
      </c>
      <c r="L137" s="31">
        <v>27.537552111575501</v>
      </c>
      <c r="M137" s="31">
        <v>65.657509315786854</v>
      </c>
      <c r="N137" s="31">
        <v>64.268908105100408</v>
      </c>
      <c r="O137" s="31">
        <v>94.109082085134517</v>
      </c>
      <c r="P137" s="31">
        <v>74.239729344034899</v>
      </c>
      <c r="Q137" s="31">
        <v>42.768620610154727</v>
      </c>
      <c r="R137" s="31">
        <v>93.727937928751714</v>
      </c>
      <c r="S137" s="31">
        <v>65.895046228293907</v>
      </c>
      <c r="T137" s="31">
        <v>41.358693603510702</v>
      </c>
      <c r="U137" s="31">
        <v>64.184792324313207</v>
      </c>
      <c r="V137" s="31">
        <v>40.023335105544199</v>
      </c>
      <c r="W137" s="31">
        <v>179.07594080453705</v>
      </c>
      <c r="X137" s="31">
        <v>78.39899505028265</v>
      </c>
      <c r="Y137" s="31">
        <v>36.327060729473509</v>
      </c>
      <c r="Z137" s="31">
        <v>33.055695487094567</v>
      </c>
      <c r="AA137" s="31">
        <v>59.267957844553464</v>
      </c>
      <c r="AB137" s="31">
        <v>39.716180263154776</v>
      </c>
      <c r="AC137" s="31">
        <v>47.533628067078624</v>
      </c>
      <c r="AD137" s="31">
        <v>72.943792465147922</v>
      </c>
      <c r="AE137" s="31">
        <v>126.1172441998059</v>
      </c>
      <c r="AF137" s="31">
        <v>4.4731526758862961</v>
      </c>
      <c r="AG137" s="31">
        <v>5.3191283880986404</v>
      </c>
      <c r="AH137" s="31">
        <v>6.6262798084227414</v>
      </c>
      <c r="AI137" s="32">
        <v>5.4965729291785319</v>
      </c>
      <c r="AJ137" s="31">
        <v>5.184264151873168</v>
      </c>
      <c r="AK137" s="31">
        <v>6.4085600353466727</v>
      </c>
      <c r="AL137" s="31">
        <v>0.93184735797269902</v>
      </c>
      <c r="AM137" s="31">
        <v>14.913462249781457</v>
      </c>
      <c r="AN137" s="31">
        <v>9.058865136155001</v>
      </c>
      <c r="AO137" s="31">
        <v>4.8859517483984343</v>
      </c>
      <c r="AP137" s="31">
        <v>5.2187877450654749</v>
      </c>
      <c r="AQ137" s="31">
        <v>3.7627517436099542</v>
      </c>
      <c r="AR137" s="31">
        <v>8.6657278786500278</v>
      </c>
      <c r="AS137" s="31">
        <v>12.413505621974187</v>
      </c>
      <c r="AT137" s="31">
        <v>6.3225618026019541</v>
      </c>
      <c r="AU137" s="31">
        <v>9.7805159650572886</v>
      </c>
      <c r="AV137" s="31">
        <v>8.9072356439517772</v>
      </c>
      <c r="AW137" s="31">
        <v>2.0044047460718044</v>
      </c>
      <c r="AX137" s="31">
        <v>4.6667270056909667</v>
      </c>
      <c r="AY137" s="31">
        <v>4.8817857958223607</v>
      </c>
      <c r="AZ137" s="31">
        <v>12.459470141744401</v>
      </c>
      <c r="BA137" s="31">
        <v>5.8766950228715507</v>
      </c>
      <c r="BB137" s="31">
        <v>11.855658789625387</v>
      </c>
      <c r="BC137" s="31">
        <v>7.8937134687117192</v>
      </c>
      <c r="BD137" s="31">
        <v>10.353088466132377</v>
      </c>
      <c r="BE137" s="31">
        <v>4.5445085525360902</v>
      </c>
      <c r="BF137" s="31">
        <v>6.8694680528374246</v>
      </c>
      <c r="BG137" s="31">
        <v>10.979488609771769</v>
      </c>
      <c r="BH137" s="31">
        <v>7.4883838440493209</v>
      </c>
      <c r="BI137" s="31">
        <v>7.0003496936772605</v>
      </c>
      <c r="BJ137" s="31">
        <v>5.0719997112041</v>
      </c>
      <c r="BK137" s="31">
        <v>9.6345994916490501</v>
      </c>
      <c r="BL137" s="31">
        <v>7.6543890602475617</v>
      </c>
      <c r="BM137" s="31">
        <v>2.9076193183812271</v>
      </c>
      <c r="BN137" s="31">
        <v>4.0420384512424032</v>
      </c>
      <c r="BO137" s="31">
        <v>3.158373318568668</v>
      </c>
      <c r="BP137" s="32">
        <v>7.5604036653833218</v>
      </c>
      <c r="BQ137" s="31">
        <v>2.0851050171688832</v>
      </c>
      <c r="BR137" s="31">
        <v>3.80962612682969</v>
      </c>
      <c r="BS137" s="31">
        <v>1.2274323623559125</v>
      </c>
      <c r="BT137" s="31">
        <v>2.3144687766209304</v>
      </c>
      <c r="BU137" s="31">
        <v>5.1026419185704928</v>
      </c>
      <c r="BV137" s="31">
        <v>5.5259176851649041</v>
      </c>
      <c r="BW137" s="31">
        <v>2.1241957538926961</v>
      </c>
      <c r="BX137" s="31">
        <v>6.2017179576810531</v>
      </c>
      <c r="BY137" s="31">
        <v>4.4187740993553906</v>
      </c>
      <c r="BZ137" s="31">
        <v>0.13900052835047202</v>
      </c>
      <c r="CA137" s="31">
        <v>1.5457624738311693</v>
      </c>
      <c r="CB137" s="31">
        <v>0.86467808211319752</v>
      </c>
      <c r="CC137" s="31">
        <v>10.356256484167753</v>
      </c>
      <c r="CD137" s="31">
        <v>4.138031023172168</v>
      </c>
      <c r="CE137" s="31">
        <v>0.45380146366663643</v>
      </c>
      <c r="CF137" s="31">
        <v>6.4423459135052763</v>
      </c>
      <c r="CG137" s="32">
        <v>7.7100670132518827</v>
      </c>
    </row>
    <row r="138" spans="1:85" x14ac:dyDescent="0.3">
      <c r="A138" s="30" t="s">
        <v>157</v>
      </c>
      <c r="B138" s="31">
        <v>9.6531686298048189</v>
      </c>
      <c r="C138" s="31">
        <v>10.028552432358927</v>
      </c>
      <c r="D138" s="31">
        <v>10.509468219892357</v>
      </c>
      <c r="E138" s="31">
        <v>17.032245531284222</v>
      </c>
      <c r="F138" s="31">
        <v>11.17812281701922</v>
      </c>
      <c r="G138" s="31">
        <v>25.140031402051775</v>
      </c>
      <c r="H138" s="31">
        <v>21.619773338374518</v>
      </c>
      <c r="I138" s="31">
        <v>8.0929511156837872</v>
      </c>
      <c r="J138" s="31">
        <v>15.882499240437161</v>
      </c>
      <c r="K138" s="31">
        <v>14.216526926833732</v>
      </c>
      <c r="L138" s="31">
        <v>0.9682410446217965</v>
      </c>
      <c r="M138" s="31">
        <v>6.7873961292034544</v>
      </c>
      <c r="N138" s="31">
        <v>5.4885254859247743</v>
      </c>
      <c r="O138" s="31">
        <v>6.6058589423304293</v>
      </c>
      <c r="P138" s="31">
        <v>7.5818207333906402</v>
      </c>
      <c r="Q138" s="31">
        <v>3.2038252267785015</v>
      </c>
      <c r="R138" s="31">
        <v>3.8405169390922724</v>
      </c>
      <c r="S138" s="31">
        <v>9.4949596558196454</v>
      </c>
      <c r="T138" s="31">
        <v>3.858868349859403</v>
      </c>
      <c r="U138" s="31">
        <v>7.9449386760615806</v>
      </c>
      <c r="V138" s="31">
        <v>3.5740329441028913</v>
      </c>
      <c r="W138" s="31">
        <v>8.160248381045264</v>
      </c>
      <c r="X138" s="31">
        <v>7.5581864742676172</v>
      </c>
      <c r="Y138" s="31">
        <v>1.2331512833591483</v>
      </c>
      <c r="Z138" s="31">
        <v>1.2879549624151621</v>
      </c>
      <c r="AA138" s="31">
        <v>6.3907691131562832</v>
      </c>
      <c r="AB138" s="31">
        <v>2.9459032630572488</v>
      </c>
      <c r="AC138" s="31">
        <v>3.2678845188993098</v>
      </c>
      <c r="AD138" s="31">
        <v>9.0423459208304031</v>
      </c>
      <c r="AE138" s="31">
        <v>4.8181645123985914</v>
      </c>
      <c r="AF138" s="31">
        <v>12.568736594458926</v>
      </c>
      <c r="AG138" s="31">
        <v>18.061901502233674</v>
      </c>
      <c r="AH138" s="31">
        <v>13.789936479507853</v>
      </c>
      <c r="AI138" s="32">
        <v>14.191327901086378</v>
      </c>
      <c r="AJ138" s="31">
        <v>14.45108847890581</v>
      </c>
      <c r="AK138" s="31">
        <v>13.218126038292642</v>
      </c>
      <c r="AL138" s="31">
        <v>6.3216324371737178</v>
      </c>
      <c r="AM138" s="31">
        <v>24.64360146881755</v>
      </c>
      <c r="AN138" s="31">
        <v>24.157661764083002</v>
      </c>
      <c r="AO138" s="31">
        <v>14.201920063664719</v>
      </c>
      <c r="AP138" s="31">
        <v>14.060547076294174</v>
      </c>
      <c r="AQ138" s="31">
        <v>15.887416811627606</v>
      </c>
      <c r="AR138" s="31">
        <v>18.527297493402131</v>
      </c>
      <c r="AS138" s="31">
        <v>23.199116050963276</v>
      </c>
      <c r="AT138" s="31">
        <v>14.599581876843438</v>
      </c>
      <c r="AU138" s="31">
        <v>23.77833178039501</v>
      </c>
      <c r="AV138" s="31">
        <v>15.045875242975882</v>
      </c>
      <c r="AW138" s="31">
        <v>10.951188084812468</v>
      </c>
      <c r="AX138" s="31">
        <v>11.685398405846165</v>
      </c>
      <c r="AY138" s="31">
        <v>13.589850436004053</v>
      </c>
      <c r="AZ138" s="31">
        <v>35.688299055661695</v>
      </c>
      <c r="BA138" s="31">
        <v>14.798491335916182</v>
      </c>
      <c r="BB138" s="31">
        <v>25.521361768773957</v>
      </c>
      <c r="BC138" s="31">
        <v>16.081654900560103</v>
      </c>
      <c r="BD138" s="31">
        <v>15.426669206933132</v>
      </c>
      <c r="BE138" s="31">
        <v>15.306320471218438</v>
      </c>
      <c r="BF138" s="31">
        <v>17.726454567939378</v>
      </c>
      <c r="BG138" s="31">
        <v>16.20846285471363</v>
      </c>
      <c r="BH138" s="31">
        <v>13.743509914052801</v>
      </c>
      <c r="BI138" s="31">
        <v>12.042308986806402</v>
      </c>
      <c r="BJ138" s="31">
        <v>9.9977037825811816</v>
      </c>
      <c r="BK138" s="31">
        <v>25.478319587489601</v>
      </c>
      <c r="BL138" s="31">
        <v>15.60706745936481</v>
      </c>
      <c r="BM138" s="31">
        <v>7.2331209166980628</v>
      </c>
      <c r="BN138" s="31">
        <v>9.9805831072814151</v>
      </c>
      <c r="BO138" s="31">
        <v>8.3725265076416679</v>
      </c>
      <c r="BP138" s="32">
        <v>15.868057186845588</v>
      </c>
      <c r="BQ138" s="31">
        <v>5.0756464465786495</v>
      </c>
      <c r="BR138" s="31">
        <v>8.6549038288174795</v>
      </c>
      <c r="BS138" s="31">
        <v>4.8027942340889895</v>
      </c>
      <c r="BT138" s="31">
        <v>5.9722667950303698</v>
      </c>
      <c r="BU138" s="31">
        <v>11.585410910182162</v>
      </c>
      <c r="BV138" s="31">
        <v>10.411039597307944</v>
      </c>
      <c r="BW138" s="31">
        <v>9.344929231540096</v>
      </c>
      <c r="BX138" s="31">
        <v>13.984402915187323</v>
      </c>
      <c r="BY138" s="31">
        <v>8.0816097039544612</v>
      </c>
      <c r="BZ138" s="31" t="s">
        <v>136</v>
      </c>
      <c r="CA138" s="31">
        <v>10.118663322935358</v>
      </c>
      <c r="CB138" s="31">
        <v>4.1505628691417078</v>
      </c>
      <c r="CC138" s="31">
        <v>27.193075310783843</v>
      </c>
      <c r="CD138" s="31">
        <v>11.327632936090318</v>
      </c>
      <c r="CE138" s="31">
        <v>1.0751190797025201</v>
      </c>
      <c r="CF138" s="31">
        <v>11.307338261334531</v>
      </c>
      <c r="CG138" s="32">
        <v>13.493058840022892</v>
      </c>
    </row>
    <row r="139" spans="1:85" x14ac:dyDescent="0.3">
      <c r="A139" s="30" t="s">
        <v>158</v>
      </c>
      <c r="B139" s="31">
        <v>3.711428632659874</v>
      </c>
      <c r="C139" s="31">
        <v>6.3114215226707779</v>
      </c>
      <c r="D139" s="31">
        <v>4.5984229461696984</v>
      </c>
      <c r="E139" s="31">
        <v>14.780184164048144</v>
      </c>
      <c r="F139" s="31">
        <v>7.9461799050285613</v>
      </c>
      <c r="G139" s="31">
        <v>16.44568216781726</v>
      </c>
      <c r="H139" s="31">
        <v>12.77517141394677</v>
      </c>
      <c r="I139" s="31">
        <v>6.1911107903714928</v>
      </c>
      <c r="J139" s="31">
        <v>9.1241641457518945</v>
      </c>
      <c r="K139" s="31">
        <v>10.195177316819418</v>
      </c>
      <c r="L139" s="31">
        <v>5.6329566093193257</v>
      </c>
      <c r="M139" s="31">
        <v>12.706627760430257</v>
      </c>
      <c r="N139" s="31">
        <v>14.192500012552751</v>
      </c>
      <c r="O139" s="31">
        <v>17.025144992454919</v>
      </c>
      <c r="P139" s="31">
        <v>12.4145933360578</v>
      </c>
      <c r="Q139" s="31">
        <v>6.9732154463744349</v>
      </c>
      <c r="R139" s="31">
        <v>9.575056097060278</v>
      </c>
      <c r="S139" s="31">
        <v>12.709505015728077</v>
      </c>
      <c r="T139" s="31">
        <v>6.6027048894562981</v>
      </c>
      <c r="U139" s="31">
        <v>20.1519851992337</v>
      </c>
      <c r="V139" s="31">
        <v>10.198708602545949</v>
      </c>
      <c r="W139" s="31">
        <v>24.566966201585423</v>
      </c>
      <c r="X139" s="31">
        <v>13.635811063489887</v>
      </c>
      <c r="Y139" s="31">
        <v>6.1648251516818542</v>
      </c>
      <c r="Z139" s="31">
        <v>5.7349377962250356</v>
      </c>
      <c r="AA139" s="31">
        <v>18.461438762492161</v>
      </c>
      <c r="AB139" s="31">
        <v>7.5488529907808681</v>
      </c>
      <c r="AC139" s="31">
        <v>10.249699058969336</v>
      </c>
      <c r="AD139" s="31">
        <v>14.08928188016074</v>
      </c>
      <c r="AE139" s="31">
        <v>10.248319590950009</v>
      </c>
      <c r="AF139" s="31">
        <v>16.867390709501574</v>
      </c>
      <c r="AG139" s="31">
        <v>11.322230799924915</v>
      </c>
      <c r="AH139" s="31">
        <v>8.3661246482910165</v>
      </c>
      <c r="AI139" s="32">
        <v>10.009427021921963</v>
      </c>
      <c r="AJ139" s="31">
        <v>12.755382306457108</v>
      </c>
      <c r="AK139" s="31">
        <v>8.2514194071981279</v>
      </c>
      <c r="AL139" s="31">
        <v>8.0611065579208159</v>
      </c>
      <c r="AM139" s="31">
        <v>7.4791163598605532</v>
      </c>
      <c r="AN139" s="31">
        <v>16.263722218093399</v>
      </c>
      <c r="AO139" s="31">
        <v>5.3161144674210226</v>
      </c>
      <c r="AP139" s="31">
        <v>12.288585682620452</v>
      </c>
      <c r="AQ139" s="31">
        <v>11.819313816897617</v>
      </c>
      <c r="AR139" s="31">
        <v>10.790786185575731</v>
      </c>
      <c r="AS139" s="31">
        <v>10.637738211706314</v>
      </c>
      <c r="AT139" s="31">
        <v>10.419189017557356</v>
      </c>
      <c r="AU139" s="31">
        <v>12.013591466677751</v>
      </c>
      <c r="AV139" s="31">
        <v>7.7777926335654133</v>
      </c>
      <c r="AW139" s="31">
        <v>11.166399862805676</v>
      </c>
      <c r="AX139" s="31">
        <v>4.6009694982536393</v>
      </c>
      <c r="AY139" s="31">
        <v>12.928686654989436</v>
      </c>
      <c r="AZ139" s="31">
        <v>18.8225879925036</v>
      </c>
      <c r="BA139" s="31">
        <v>8.4982182209059722</v>
      </c>
      <c r="BB139" s="31">
        <v>11.113992649961203</v>
      </c>
      <c r="BC139" s="31">
        <v>7.6409984716102377</v>
      </c>
      <c r="BD139" s="31">
        <v>10.137698721256321</v>
      </c>
      <c r="BE139" s="31">
        <v>8.7384797473981521</v>
      </c>
      <c r="BF139" s="31">
        <v>7.7664603005074211</v>
      </c>
      <c r="BG139" s="31">
        <v>8.824454317434073</v>
      </c>
      <c r="BH139" s="31">
        <v>6.9522319931890202</v>
      </c>
      <c r="BI139" s="31">
        <v>6.483379583154921</v>
      </c>
      <c r="BJ139" s="31">
        <v>6.4650218731693947</v>
      </c>
      <c r="BK139" s="31">
        <v>13.5932715242556</v>
      </c>
      <c r="BL139" s="31">
        <v>7.0944516448340416</v>
      </c>
      <c r="BM139" s="31">
        <v>8.701789277977662</v>
      </c>
      <c r="BN139" s="31">
        <v>6.7188875692126651</v>
      </c>
      <c r="BO139" s="31">
        <v>5.6511496509518455</v>
      </c>
      <c r="BP139" s="32">
        <v>8.9181468245651825</v>
      </c>
      <c r="BQ139" s="31">
        <v>1.6357626338556772</v>
      </c>
      <c r="BR139" s="31">
        <v>5.2928083328879305</v>
      </c>
      <c r="BS139" s="31">
        <v>1.4108717519386196</v>
      </c>
      <c r="BT139" s="31">
        <v>4.4973932649726009</v>
      </c>
      <c r="BU139" s="31">
        <v>7.5253973066932085</v>
      </c>
      <c r="BV139" s="31">
        <v>8.2028575927488578</v>
      </c>
      <c r="BW139" s="31">
        <v>2.0596949954258315</v>
      </c>
      <c r="BX139" s="31">
        <v>8.7635868133703738</v>
      </c>
      <c r="BY139" s="31">
        <v>6.3897050289112309</v>
      </c>
      <c r="BZ139" s="31">
        <v>0.17566396538461454</v>
      </c>
      <c r="CA139" s="31">
        <v>5.0066537912058235</v>
      </c>
      <c r="CB139" s="31">
        <v>14.539109093800104</v>
      </c>
      <c r="CC139" s="31">
        <v>17.810222332183958</v>
      </c>
      <c r="CD139" s="31">
        <v>10.365790599551323</v>
      </c>
      <c r="CE139" s="31">
        <v>0.48952929539584045</v>
      </c>
      <c r="CF139" s="31">
        <v>7.4218027217536804</v>
      </c>
      <c r="CG139" s="32">
        <v>7.2881023956364466</v>
      </c>
    </row>
    <row r="140" spans="1:85" x14ac:dyDescent="0.3">
      <c r="A140" s="30" t="s">
        <v>159</v>
      </c>
      <c r="B140" s="31">
        <v>0.74261880326706409</v>
      </c>
      <c r="C140" s="31">
        <v>0.24733328370188246</v>
      </c>
      <c r="D140" s="31">
        <v>0.2061110697515687</v>
      </c>
      <c r="E140" s="31">
        <v>0.86640923555028859</v>
      </c>
      <c r="F140" s="31" t="s">
        <v>136</v>
      </c>
      <c r="G140" s="31">
        <v>4.1098423518030405E-2</v>
      </c>
      <c r="H140" s="31">
        <v>0.20623486018385204</v>
      </c>
      <c r="I140" s="31">
        <v>0.20623486018385204</v>
      </c>
      <c r="J140" s="31" t="s">
        <v>136</v>
      </c>
      <c r="K140" s="31">
        <v>0.5776061570335258</v>
      </c>
      <c r="L140" s="31">
        <v>10.099806354983338</v>
      </c>
      <c r="M140" s="31">
        <v>8.1284765874976035</v>
      </c>
      <c r="N140" s="31">
        <v>7.552227782310057</v>
      </c>
      <c r="O140" s="31">
        <v>9.492299034960924</v>
      </c>
      <c r="P140" s="31">
        <v>6.9927470052159197</v>
      </c>
      <c r="Q140" s="31">
        <v>4.8204983914582176</v>
      </c>
      <c r="R140" s="31">
        <v>6.2573140708353607</v>
      </c>
      <c r="S140" s="31">
        <v>6.5182081724380945</v>
      </c>
      <c r="T140" s="31">
        <v>5.1131345690200707</v>
      </c>
      <c r="U140" s="31">
        <v>8.8599106818695805</v>
      </c>
      <c r="V140" s="31">
        <v>6.4699054355757264</v>
      </c>
      <c r="W140" s="31">
        <v>10.664623343051806</v>
      </c>
      <c r="X140" s="31">
        <v>6.0729528980426846</v>
      </c>
      <c r="Y140" s="31">
        <v>7.4429415537709085</v>
      </c>
      <c r="Z140" s="31">
        <v>7.236713847688331</v>
      </c>
      <c r="AA140" s="31">
        <v>7.8770678343150182</v>
      </c>
      <c r="AB140" s="31">
        <v>6.824261451474027</v>
      </c>
      <c r="AC140" s="31">
        <v>7.2932481822750717</v>
      </c>
      <c r="AD140" s="31">
        <v>5.8908106349243745</v>
      </c>
      <c r="AE140" s="31">
        <v>5.3838573409571397</v>
      </c>
      <c r="AF140" s="31">
        <v>0.87155481710401117</v>
      </c>
      <c r="AG140" s="31">
        <v>0.72322160221845933</v>
      </c>
      <c r="AH140" s="31">
        <v>0.51169024358714166</v>
      </c>
      <c r="AI140" s="32">
        <v>0.4692987476713904</v>
      </c>
      <c r="AJ140" s="31">
        <v>0.46424819924406968</v>
      </c>
      <c r="AK140" s="31">
        <v>0.31521898223910916</v>
      </c>
      <c r="AL140" s="31">
        <v>0.10961091107356741</v>
      </c>
      <c r="AM140" s="31">
        <v>0.37984519193469291</v>
      </c>
      <c r="AN140" s="31">
        <v>0.63815511879068698</v>
      </c>
      <c r="AO140" s="31">
        <v>0.3663403489475649</v>
      </c>
      <c r="AP140" s="31">
        <v>8.9367890092280231E-2</v>
      </c>
      <c r="AQ140" s="31">
        <v>0.53758487784806008</v>
      </c>
      <c r="AR140" s="31">
        <v>0.47307211199565841</v>
      </c>
      <c r="AS140" s="31">
        <v>0.1054879296154696</v>
      </c>
      <c r="AT140" s="31">
        <v>0.82683735071875231</v>
      </c>
      <c r="AU140" s="31">
        <v>0.4692987476713904</v>
      </c>
      <c r="AV140" s="31">
        <v>0.46806085250533891</v>
      </c>
      <c r="AW140" s="31" t="s">
        <v>136</v>
      </c>
      <c r="AX140" s="31">
        <v>0.15340267278622324</v>
      </c>
      <c r="AY140" s="31">
        <v>0.17529855364255018</v>
      </c>
      <c r="AZ140" s="31">
        <v>0.50138805518359508</v>
      </c>
      <c r="BA140" s="31">
        <v>0.17873578018456085</v>
      </c>
      <c r="BB140" s="31">
        <v>0.26930678161178145</v>
      </c>
      <c r="BC140" s="31">
        <v>0.4963076640370413</v>
      </c>
      <c r="BD140" s="31">
        <v>0.83444389730079205</v>
      </c>
      <c r="BE140" s="31">
        <v>0.86851182605325039</v>
      </c>
      <c r="BF140" s="31">
        <v>0.39983009565684513</v>
      </c>
      <c r="BG140" s="31">
        <v>0.30132585516369326</v>
      </c>
      <c r="BH140" s="31">
        <v>0.47005876309119599</v>
      </c>
      <c r="BI140" s="31">
        <v>0.36158783587504301</v>
      </c>
      <c r="BJ140" s="31">
        <v>0.3899636177466963</v>
      </c>
      <c r="BK140" s="31">
        <v>0.48811917247268494</v>
      </c>
      <c r="BL140" s="31">
        <v>8.8637762583002877E-2</v>
      </c>
      <c r="BM140" s="31">
        <v>0.15065406557798863</v>
      </c>
      <c r="BN140" s="31">
        <v>0.13908267446417175</v>
      </c>
      <c r="BO140" s="31">
        <v>0.33679159460152364</v>
      </c>
      <c r="BP140" s="32">
        <v>0.29000623370809003</v>
      </c>
      <c r="BQ140" s="31">
        <v>0.19498180887334815</v>
      </c>
      <c r="BR140" s="31">
        <v>0.30740660773057504</v>
      </c>
      <c r="BS140" s="31">
        <v>0.15349659511719588</v>
      </c>
      <c r="BT140" s="31">
        <v>5.4235463608067001E-5</v>
      </c>
      <c r="BU140" s="31">
        <v>0.21274126460383636</v>
      </c>
      <c r="BV140" s="31">
        <v>0.42542935718452662</v>
      </c>
      <c r="BW140" s="31">
        <v>0.22603759364157586</v>
      </c>
      <c r="BX140" s="31">
        <v>0.46934535814681289</v>
      </c>
      <c r="BY140" s="31">
        <v>0.11507779278295477</v>
      </c>
      <c r="BZ140" s="31">
        <v>0.20092230545917839</v>
      </c>
      <c r="CA140" s="31">
        <v>0.19123215870270627</v>
      </c>
      <c r="CB140" s="31">
        <v>0.10634404629034513</v>
      </c>
      <c r="CC140" s="31">
        <v>0.21994679228085992</v>
      </c>
      <c r="CD140" s="31">
        <v>0.27826964789681952</v>
      </c>
      <c r="CE140" s="31" t="s">
        <v>136</v>
      </c>
      <c r="CF140" s="31">
        <v>0.24338164294124154</v>
      </c>
      <c r="CG140" s="32">
        <v>5.0218021859338137E-5</v>
      </c>
    </row>
    <row r="141" spans="1:85" x14ac:dyDescent="0.3">
      <c r="A141" s="30" t="s">
        <v>160</v>
      </c>
      <c r="B141" s="31">
        <v>63.665742884055717</v>
      </c>
      <c r="C141" s="31">
        <v>34.09617857984756</v>
      </c>
      <c r="D141" s="31">
        <v>93.408589899344051</v>
      </c>
      <c r="E141" s="31">
        <v>106.4695403464971</v>
      </c>
      <c r="F141" s="31">
        <v>42.753058084177567</v>
      </c>
      <c r="G141" s="31">
        <v>61.63327170533482</v>
      </c>
      <c r="H141" s="31">
        <v>77.051735108341603</v>
      </c>
      <c r="I141" s="31">
        <v>41.476475440112765</v>
      </c>
      <c r="J141" s="31">
        <v>56.908560825078837</v>
      </c>
      <c r="K141" s="31">
        <v>102.51755423169122</v>
      </c>
      <c r="L141" s="31">
        <v>0.42747726945038944</v>
      </c>
      <c r="M141" s="31">
        <v>0.62894772386766862</v>
      </c>
      <c r="N141" s="31">
        <v>0.92228894227954961</v>
      </c>
      <c r="O141" s="31">
        <v>0.3773686343206023</v>
      </c>
      <c r="P141" s="31">
        <v>0.56684794140387196</v>
      </c>
      <c r="Q141" s="31">
        <v>8.5546756292652196E-2</v>
      </c>
      <c r="R141" s="31">
        <v>0.12578954477353377</v>
      </c>
      <c r="S141" s="31">
        <v>0.24214021481702444</v>
      </c>
      <c r="T141" s="31">
        <v>0.38476801930728055</v>
      </c>
      <c r="U141" s="31">
        <v>0.26164225312895101</v>
      </c>
      <c r="V141" s="31">
        <v>4.2709250143108009E-2</v>
      </c>
      <c r="W141" s="31">
        <v>0.51531631036715564</v>
      </c>
      <c r="X141" s="31">
        <v>0.36339201823465311</v>
      </c>
      <c r="Y141" s="31">
        <v>0.20573473394620803</v>
      </c>
      <c r="Z141" s="31">
        <v>0.12341615713629733</v>
      </c>
      <c r="AA141" s="31">
        <v>0.2378565937535915</v>
      </c>
      <c r="AB141" s="31">
        <v>4.1097580326387127E-2</v>
      </c>
      <c r="AC141" s="31">
        <v>0.32293437353786153</v>
      </c>
      <c r="AD141" s="31">
        <v>0.427477269450388</v>
      </c>
      <c r="AE141" s="31">
        <v>0.12578954477353377</v>
      </c>
      <c r="AF141" s="31">
        <v>156.61084000112652</v>
      </c>
      <c r="AG141" s="31">
        <v>47.24458520492216</v>
      </c>
      <c r="AH141" s="31">
        <v>79.510153235991609</v>
      </c>
      <c r="AI141" s="32">
        <v>45.870664518739133</v>
      </c>
      <c r="AJ141" s="31">
        <v>39.622442510332441</v>
      </c>
      <c r="AK141" s="31">
        <v>48.112087346159512</v>
      </c>
      <c r="AL141" s="31">
        <v>18.589521052295979</v>
      </c>
      <c r="AM141" s="31">
        <v>76.858078619360242</v>
      </c>
      <c r="AN141" s="31">
        <v>69.46633232639681</v>
      </c>
      <c r="AO141" s="31">
        <v>95.837545381016881</v>
      </c>
      <c r="AP141" s="31">
        <v>21.822070547061209</v>
      </c>
      <c r="AQ141" s="31">
        <v>97.535202706523378</v>
      </c>
      <c r="AR141" s="31">
        <v>71.253826035026364</v>
      </c>
      <c r="AS141" s="31">
        <v>88.917483242143859</v>
      </c>
      <c r="AT141" s="31">
        <v>49.659564750338255</v>
      </c>
      <c r="AU141" s="31">
        <v>109.17326384317651</v>
      </c>
      <c r="AV141" s="31">
        <v>67.470549096680926</v>
      </c>
      <c r="AW141" s="31">
        <v>19.754802242465594</v>
      </c>
      <c r="AX141" s="31">
        <v>99.39126485272223</v>
      </c>
      <c r="AY141" s="31">
        <v>32.543323219608496</v>
      </c>
      <c r="AZ141" s="31">
        <v>92.384186931195302</v>
      </c>
      <c r="BA141" s="31">
        <v>60.281937177719534</v>
      </c>
      <c r="BB141" s="31">
        <v>83.542197121094986</v>
      </c>
      <c r="BC141" s="31">
        <v>98.240682483747094</v>
      </c>
      <c r="BD141" s="31">
        <v>62.585476636590215</v>
      </c>
      <c r="BE141" s="31">
        <v>34.330170956363538</v>
      </c>
      <c r="BF141" s="31">
        <v>121.73341254594486</v>
      </c>
      <c r="BG141" s="31">
        <v>45.332531079238059</v>
      </c>
      <c r="BH141" s="31">
        <v>57.370388196421494</v>
      </c>
      <c r="BI141" s="31">
        <v>43.288162816817</v>
      </c>
      <c r="BJ141" s="31">
        <v>48.708711379909523</v>
      </c>
      <c r="BK141" s="31">
        <v>61.411826914593604</v>
      </c>
      <c r="BL141" s="31">
        <v>57.800242979368548</v>
      </c>
      <c r="BM141" s="31">
        <v>22.084821681120335</v>
      </c>
      <c r="BN141" s="31">
        <v>30.955397287644821</v>
      </c>
      <c r="BO141" s="31">
        <v>26.842404918670894</v>
      </c>
      <c r="BP141" s="32">
        <v>52.909888550175538</v>
      </c>
      <c r="BQ141" s="31">
        <v>53.507789195665318</v>
      </c>
      <c r="BR141" s="31">
        <v>57.470304351841691</v>
      </c>
      <c r="BS141" s="31">
        <v>51.222898398619598</v>
      </c>
      <c r="BT141" s="31">
        <v>26.2610085916773</v>
      </c>
      <c r="BU141" s="31">
        <v>66.955560771205811</v>
      </c>
      <c r="BV141" s="31">
        <v>63.254226349128658</v>
      </c>
      <c r="BW141" s="31">
        <v>61.548040739733274</v>
      </c>
      <c r="BX141" s="31">
        <v>126.63003550491166</v>
      </c>
      <c r="BY141" s="31">
        <v>36.455859750011165</v>
      </c>
      <c r="BZ141" s="31">
        <v>0.1458184775899794</v>
      </c>
      <c r="CA141" s="31">
        <v>50.501288635612276</v>
      </c>
      <c r="CB141" s="31">
        <v>92.852963397753371</v>
      </c>
      <c r="CC141" s="31">
        <v>67.702168417076351</v>
      </c>
      <c r="CD141" s="31">
        <v>75.74596342097378</v>
      </c>
      <c r="CE141" s="31">
        <v>15.040108647032653</v>
      </c>
      <c r="CF141" s="31">
        <v>36.53413609377273</v>
      </c>
      <c r="CG141" s="32">
        <v>55.027253269467963</v>
      </c>
    </row>
    <row r="142" spans="1:85" x14ac:dyDescent="0.3">
      <c r="A142" s="30" t="s">
        <v>161</v>
      </c>
      <c r="B142" s="31">
        <v>6.9406326207175812</v>
      </c>
      <c r="C142" s="31">
        <v>1.6239603635102948</v>
      </c>
      <c r="D142" s="31">
        <v>1.4749783718588731</v>
      </c>
      <c r="E142" s="31">
        <v>0.40320336691373548</v>
      </c>
      <c r="F142" s="31">
        <v>0.43348084435054823</v>
      </c>
      <c r="G142" s="31">
        <v>0.29785987458829816</v>
      </c>
      <c r="H142" s="31">
        <v>0.28332823494368148</v>
      </c>
      <c r="I142" s="31">
        <v>0.22521136089680105</v>
      </c>
      <c r="J142" s="31">
        <v>0.15134501735837849</v>
      </c>
      <c r="K142" s="31">
        <v>8.8385877518556616E-2</v>
      </c>
      <c r="L142" s="31">
        <v>17.860031652379618</v>
      </c>
      <c r="M142" s="31">
        <v>34.682457242534241</v>
      </c>
      <c r="N142" s="31">
        <v>136.06990477273041</v>
      </c>
      <c r="O142" s="31">
        <v>50.797880051292168</v>
      </c>
      <c r="P142" s="31">
        <v>54.520404398499203</v>
      </c>
      <c r="Q142" s="31">
        <v>23.157524242582166</v>
      </c>
      <c r="R142" s="31">
        <v>29.667634293173297</v>
      </c>
      <c r="S142" s="31">
        <v>49.940919725373142</v>
      </c>
      <c r="T142" s="31">
        <v>27.25508098041815</v>
      </c>
      <c r="U142" s="31">
        <v>79.239820535945114</v>
      </c>
      <c r="V142" s="31">
        <v>28.01492041626766</v>
      </c>
      <c r="W142" s="31">
        <v>97.397756763940791</v>
      </c>
      <c r="X142" s="31">
        <v>47.718392384458625</v>
      </c>
      <c r="Y142" s="31">
        <v>16.66669172301421</v>
      </c>
      <c r="Z142" s="31">
        <v>15.180330515561437</v>
      </c>
      <c r="AA142" s="31">
        <v>53.686461720653575</v>
      </c>
      <c r="AB142" s="31">
        <v>23.688766583934935</v>
      </c>
      <c r="AC142" s="31">
        <v>27.662476170837362</v>
      </c>
      <c r="AD142" s="31">
        <v>42.743648103512129</v>
      </c>
      <c r="AE142" s="31">
        <v>55.454715258086011</v>
      </c>
      <c r="AF142" s="31">
        <v>1.7222627692473536</v>
      </c>
      <c r="AG142" s="31">
        <v>1.0073378928070298</v>
      </c>
      <c r="AH142" s="31">
        <v>1.1272349199747547</v>
      </c>
      <c r="AI142" s="32">
        <v>0.7925832475969985</v>
      </c>
      <c r="AJ142" s="31">
        <v>0.7026625316409979</v>
      </c>
      <c r="AK142" s="31">
        <v>0.77481506723956495</v>
      </c>
      <c r="AL142" s="31">
        <v>0.98152027214993365</v>
      </c>
      <c r="AM142" s="31">
        <v>0.7413909927490766</v>
      </c>
      <c r="AN142" s="31">
        <v>0.82145009391074097</v>
      </c>
      <c r="AO142" s="31">
        <v>0.68240378607953778</v>
      </c>
      <c r="AP142" s="31">
        <v>0.51887280471504349</v>
      </c>
      <c r="AQ142" s="31">
        <v>0.29514183193118992</v>
      </c>
      <c r="AR142" s="31">
        <v>0.27177291500651357</v>
      </c>
      <c r="AS142" s="31">
        <v>0.1813758136460466</v>
      </c>
      <c r="AT142" s="31">
        <v>0.17794876432786086</v>
      </c>
      <c r="AU142" s="31">
        <v>3.784751824715845E-2</v>
      </c>
      <c r="AV142" s="31">
        <v>7.1504590058402082E-2</v>
      </c>
      <c r="AW142" s="31">
        <v>6.740584524509094E-2</v>
      </c>
      <c r="AX142" s="31">
        <v>0.18095145653857519</v>
      </c>
      <c r="AY142" s="31">
        <v>0.30550998756165987</v>
      </c>
      <c r="AZ142" s="31" t="s">
        <v>136</v>
      </c>
      <c r="BA142" s="31">
        <v>0.10336584410141574</v>
      </c>
      <c r="BB142" s="31" t="s">
        <v>136</v>
      </c>
      <c r="BC142" s="31">
        <v>0.34566526311723933</v>
      </c>
      <c r="BD142" s="31">
        <v>0.55251538030529956</v>
      </c>
      <c r="BE142" s="31">
        <v>0.25013789434466971</v>
      </c>
      <c r="BF142" s="31">
        <v>0.21585827380374753</v>
      </c>
      <c r="BG142" s="31">
        <v>0.28460676091875309</v>
      </c>
      <c r="BH142" s="31">
        <v>0.24358374458117699</v>
      </c>
      <c r="BI142" s="31">
        <v>0.136101189695924</v>
      </c>
      <c r="BJ142" s="31">
        <v>0.111767238048002</v>
      </c>
      <c r="BK142" s="31">
        <v>0.14514367413347098</v>
      </c>
      <c r="BL142" s="31">
        <v>0.14524720133115496</v>
      </c>
      <c r="BM142" s="31">
        <v>3.2548350860939955E-2</v>
      </c>
      <c r="BN142" s="31" t="s">
        <v>136</v>
      </c>
      <c r="BO142" s="31" t="s">
        <v>136</v>
      </c>
      <c r="BP142" s="32">
        <v>3.363755328888731E-2</v>
      </c>
      <c r="BQ142" s="31">
        <v>7.9764476743981405E-2</v>
      </c>
      <c r="BR142" s="31">
        <v>6.4280968353952889E-2</v>
      </c>
      <c r="BS142" s="31">
        <v>5.4483874650231294E-2</v>
      </c>
      <c r="BT142" s="31">
        <v>3.8672311011527703E-2</v>
      </c>
      <c r="BU142" s="31">
        <v>5.0218468214988064E-2</v>
      </c>
      <c r="BV142" s="31">
        <v>0.46090572247972467</v>
      </c>
      <c r="BW142" s="31">
        <v>0.11456763348603427</v>
      </c>
      <c r="BX142" s="31">
        <v>5.456610048491304E-2</v>
      </c>
      <c r="BY142" s="31">
        <v>3.1045056862560788E-2</v>
      </c>
      <c r="BZ142" s="31">
        <v>0.51437207704107235</v>
      </c>
      <c r="CA142" s="31">
        <v>9.0301737899815548E-2</v>
      </c>
      <c r="CB142" s="31">
        <v>4.8743235182177956E-2</v>
      </c>
      <c r="CC142" s="31">
        <v>9.2980709651234783E-2</v>
      </c>
      <c r="CD142" s="31" t="s">
        <v>136</v>
      </c>
      <c r="CE142" s="31">
        <v>7.3840409493441993E-3</v>
      </c>
      <c r="CF142" s="31">
        <v>3.4283463772688115E-2</v>
      </c>
      <c r="CG142" s="32">
        <v>3.3016960085910152E-2</v>
      </c>
    </row>
    <row r="143" spans="1:85" x14ac:dyDescent="0.3">
      <c r="A143" s="30" t="s">
        <v>162</v>
      </c>
      <c r="B143" s="31">
        <v>0.98885338797462785</v>
      </c>
      <c r="C143" s="31">
        <v>0.24197824082202654</v>
      </c>
      <c r="D143" s="31">
        <v>0.43625884763586492</v>
      </c>
      <c r="E143" s="31">
        <v>0.10702883728666575</v>
      </c>
      <c r="F143" s="31">
        <v>0.21056760379224418</v>
      </c>
      <c r="G143" s="31">
        <v>0.18846382217869417</v>
      </c>
      <c r="H143" s="31">
        <v>0.15472647129485398</v>
      </c>
      <c r="I143" s="31">
        <v>0.265245379362606</v>
      </c>
      <c r="J143" s="31">
        <v>0.34086357961948938</v>
      </c>
      <c r="K143" s="31">
        <v>0.22801795769767852</v>
      </c>
      <c r="L143" s="31">
        <v>0.82662769054395424</v>
      </c>
      <c r="M143" s="31">
        <v>1.9901373248234659</v>
      </c>
      <c r="N143" s="31">
        <v>1.33974396174441</v>
      </c>
      <c r="O143" s="31">
        <v>1.7186513110839345</v>
      </c>
      <c r="P143" s="31">
        <v>1.2395870231179502</v>
      </c>
      <c r="Q143" s="31">
        <v>0.63819466773171796</v>
      </c>
      <c r="R143" s="31">
        <v>0.73565684004600651</v>
      </c>
      <c r="S143" s="31">
        <v>0.7284255175541372</v>
      </c>
      <c r="T143" s="31">
        <v>0.56519900341934626</v>
      </c>
      <c r="U143" s="31">
        <v>0.61253239363911505</v>
      </c>
      <c r="V143" s="31">
        <v>0.47217267710208582</v>
      </c>
      <c r="W143" s="31">
        <v>0.59397357138628748</v>
      </c>
      <c r="X143" s="31">
        <v>0.47153193398110854</v>
      </c>
      <c r="Y143" s="31">
        <v>0.25606071537191361</v>
      </c>
      <c r="Z143" s="31">
        <v>0.19827939830867197</v>
      </c>
      <c r="AA143" s="31">
        <v>0.26640509702334786</v>
      </c>
      <c r="AB143" s="31">
        <v>0.2424635787296871</v>
      </c>
      <c r="AC143" s="31">
        <v>0.29580664515807731</v>
      </c>
      <c r="AD143" s="31">
        <v>0.32026809456899413</v>
      </c>
      <c r="AE143" s="31">
        <v>0.30140506906534548</v>
      </c>
      <c r="AF143" s="31">
        <v>0.2385124512342609</v>
      </c>
      <c r="AG143" s="31">
        <v>9.9273197709415478E-2</v>
      </c>
      <c r="AH143" s="31">
        <v>0.21854759547839178</v>
      </c>
      <c r="AI143" s="32">
        <v>0.13836952588533927</v>
      </c>
      <c r="AJ143" s="31">
        <v>0.17136165451731639</v>
      </c>
      <c r="AK143" s="31">
        <v>0.19863627608674336</v>
      </c>
      <c r="AL143" s="31">
        <v>2.3234152655395121E-2</v>
      </c>
      <c r="AM143" s="31">
        <v>0.15305595848579326</v>
      </c>
      <c r="AN143" s="31">
        <v>0.19220980833099602</v>
      </c>
      <c r="AO143" s="31">
        <v>0.20348742463613106</v>
      </c>
      <c r="AP143" s="31">
        <v>7.8606812370659182E-2</v>
      </c>
      <c r="AQ143" s="31">
        <v>0.19065555112077223</v>
      </c>
      <c r="AR143" s="31">
        <v>0.26059712558083814</v>
      </c>
      <c r="AS143" s="31">
        <v>0.17187014607374843</v>
      </c>
      <c r="AT143" s="31">
        <v>0.14806077672555693</v>
      </c>
      <c r="AU143" s="31">
        <v>0.21536112978262853</v>
      </c>
      <c r="AV143" s="31">
        <v>0.21819735894717662</v>
      </c>
      <c r="AW143" s="31">
        <v>3.6266001571886093E-2</v>
      </c>
      <c r="AX143" s="31">
        <v>0.89348518183094028</v>
      </c>
      <c r="AY143" s="31">
        <v>0.10613783372123665</v>
      </c>
      <c r="AZ143" s="31">
        <v>0.17353799837884204</v>
      </c>
      <c r="BA143" s="31">
        <v>0.60195050982718068</v>
      </c>
      <c r="BB143" s="31">
        <v>0.16225503300668487</v>
      </c>
      <c r="BC143" s="31">
        <v>0.23227035938749713</v>
      </c>
      <c r="BD143" s="31">
        <v>0.17085271628022553</v>
      </c>
      <c r="BE143" s="31">
        <v>7.5823795006662378E-2</v>
      </c>
      <c r="BF143" s="31">
        <v>0.21744891162937829</v>
      </c>
      <c r="BG143" s="31">
        <v>0.13101200023303045</v>
      </c>
      <c r="BH143" s="31">
        <v>0.234957785033303</v>
      </c>
      <c r="BI143" s="31">
        <v>0.12433182791345601</v>
      </c>
      <c r="BJ143" s="31">
        <v>0.23371005169775011</v>
      </c>
      <c r="BK143" s="31">
        <v>0.19432966803796103</v>
      </c>
      <c r="BL143" s="31">
        <v>0.38775712889483055</v>
      </c>
      <c r="BM143" s="31">
        <v>9.064729360852726E-2</v>
      </c>
      <c r="BN143" s="31">
        <v>5.3656224947509004E-2</v>
      </c>
      <c r="BO143" s="31">
        <v>0.11037641045273633</v>
      </c>
      <c r="BP143" s="32">
        <v>0.14130715845163319</v>
      </c>
      <c r="BQ143" s="31">
        <v>0.93870818013121515</v>
      </c>
      <c r="BR143" s="31">
        <v>0.45572999379522006</v>
      </c>
      <c r="BS143" s="31">
        <v>1.2237892604060634</v>
      </c>
      <c r="BT143" s="31">
        <v>0.19090320033955901</v>
      </c>
      <c r="BU143" s="31">
        <v>0.13677076947404318</v>
      </c>
      <c r="BV143" s="31">
        <v>0.26442348764981582</v>
      </c>
      <c r="BW143" s="31">
        <v>0.92599269767269921</v>
      </c>
      <c r="BX143" s="31">
        <v>0.21603690570970788</v>
      </c>
      <c r="BY143" s="31">
        <v>0.19134819614454673</v>
      </c>
      <c r="BZ143" s="31">
        <v>0.24112180099868202</v>
      </c>
      <c r="CA143" s="31">
        <v>0.1477899529255948</v>
      </c>
      <c r="CB143" s="31">
        <v>8.302225655792779E-2</v>
      </c>
      <c r="CC143" s="31">
        <v>0.33933936858695074</v>
      </c>
      <c r="CD143" s="31">
        <v>0.13931791740756647</v>
      </c>
      <c r="CE143" s="31">
        <v>0.14060994896805104</v>
      </c>
      <c r="CF143" s="31">
        <v>0.26733978745776471</v>
      </c>
      <c r="CG143" s="32">
        <v>0.22299234227697814</v>
      </c>
    </row>
    <row r="144" spans="1:85" x14ac:dyDescent="0.3">
      <c r="A144" s="30" t="s">
        <v>163</v>
      </c>
      <c r="B144" s="31">
        <v>1.4011340883137458</v>
      </c>
      <c r="C144" s="31">
        <v>1.1532235059441476</v>
      </c>
      <c r="D144" s="31">
        <v>0.80112783502330132</v>
      </c>
      <c r="E144" s="31">
        <v>1.2861515380770887</v>
      </c>
      <c r="F144" s="31">
        <v>1.1496387199288338</v>
      </c>
      <c r="G144" s="31">
        <v>1.7855574888315988</v>
      </c>
      <c r="H144" s="31">
        <v>1.5843532917897654</v>
      </c>
      <c r="I144" s="31">
        <v>0.46702074963821288</v>
      </c>
      <c r="J144" s="31">
        <v>1.1137046524967846</v>
      </c>
      <c r="K144" s="31">
        <v>0.89095222769356797</v>
      </c>
      <c r="L144" s="31">
        <v>5.9188873453156494E-2</v>
      </c>
      <c r="M144" s="31">
        <v>0.14959199747739291</v>
      </c>
      <c r="N144" s="31">
        <v>0.2199225634555706</v>
      </c>
      <c r="O144" s="31">
        <v>0.24448244363842622</v>
      </c>
      <c r="P144" s="31">
        <v>0.24149060368887898</v>
      </c>
      <c r="Q144" s="31">
        <v>0.14455744093367065</v>
      </c>
      <c r="R144" s="31">
        <v>0.33267474065868108</v>
      </c>
      <c r="S144" s="31">
        <v>0.10427612427805018</v>
      </c>
      <c r="T144" s="31">
        <v>0.17984311549228341</v>
      </c>
      <c r="U144" s="31">
        <v>0.16254175248289901</v>
      </c>
      <c r="V144" s="31">
        <v>8.5368567480513968E-2</v>
      </c>
      <c r="W144" s="31">
        <v>0.60583744107262294</v>
      </c>
      <c r="X144" s="31">
        <v>0.17845192402223026</v>
      </c>
      <c r="Y144" s="31">
        <v>5.8050625886749502E-2</v>
      </c>
      <c r="Z144" s="31">
        <v>6.3527100027009134E-2</v>
      </c>
      <c r="AA144" s="31">
        <v>0.14882069545512164</v>
      </c>
      <c r="AB144" s="31">
        <v>0.11391066211739542</v>
      </c>
      <c r="AC144" s="31">
        <v>0.1118012054115174</v>
      </c>
      <c r="AD144" s="31">
        <v>0.22195827544933658</v>
      </c>
      <c r="AE144" s="31">
        <v>0.51464112564983899</v>
      </c>
      <c r="AF144" s="31">
        <v>1.3148768929368437</v>
      </c>
      <c r="AG144" s="31">
        <v>1.6440809926694824</v>
      </c>
      <c r="AH144" s="31">
        <v>1.3879801922725099</v>
      </c>
      <c r="AI144" s="32">
        <v>1.2317368838889122</v>
      </c>
      <c r="AJ144" s="31">
        <v>1.3876673027246276</v>
      </c>
      <c r="AK144" s="31">
        <v>1.2610749964499985</v>
      </c>
      <c r="AL144" s="31">
        <v>0.70883232156079978</v>
      </c>
      <c r="AM144" s="31">
        <v>2.3124295916726538</v>
      </c>
      <c r="AN144" s="31">
        <v>2.0092779289622698</v>
      </c>
      <c r="AO144" s="31">
        <v>0.91778709162624927</v>
      </c>
      <c r="AP144" s="31">
        <v>1.4896502092454855</v>
      </c>
      <c r="AQ144" s="31">
        <v>0.84076643129527928</v>
      </c>
      <c r="AR144" s="31">
        <v>1.5526338095862133</v>
      </c>
      <c r="AS144" s="31">
        <v>2.2851643572362446</v>
      </c>
      <c r="AT144" s="31">
        <v>1.2622835813556084</v>
      </c>
      <c r="AU144" s="31">
        <v>1.8120749434956676</v>
      </c>
      <c r="AV144" s="31">
        <v>1.3041044845824454</v>
      </c>
      <c r="AW144" s="31">
        <v>1.2587330651453412</v>
      </c>
      <c r="AX144" s="31">
        <v>1.0765819173200875</v>
      </c>
      <c r="AY144" s="31">
        <v>1.7938689792343285</v>
      </c>
      <c r="AZ144" s="31">
        <v>3.02192863335189</v>
      </c>
      <c r="BA144" s="31">
        <v>1.240223396962324</v>
      </c>
      <c r="BB144" s="31">
        <v>2.0421942407469404</v>
      </c>
      <c r="BC144" s="31">
        <v>1.38123241471154</v>
      </c>
      <c r="BD144" s="31">
        <v>1.5190374526226018</v>
      </c>
      <c r="BE144" s="31">
        <v>1.324281453190677</v>
      </c>
      <c r="BF144" s="31">
        <v>1.4025434201712079</v>
      </c>
      <c r="BG144" s="31">
        <v>1.4934948058742163</v>
      </c>
      <c r="BH144" s="31">
        <v>1.09519207098031</v>
      </c>
      <c r="BI144" s="31">
        <v>1.3706856379436401</v>
      </c>
      <c r="BJ144" s="31">
        <v>0.77760817486879552</v>
      </c>
      <c r="BK144" s="31">
        <v>1.9997178074132702</v>
      </c>
      <c r="BL144" s="31">
        <v>1.569983522287079</v>
      </c>
      <c r="BM144" s="31">
        <v>0.60227359593863239</v>
      </c>
      <c r="BN144" s="31">
        <v>0.85361318933993147</v>
      </c>
      <c r="BO144" s="31">
        <v>0.54333891289325609</v>
      </c>
      <c r="BP144" s="32">
        <v>1.4246138132225963</v>
      </c>
      <c r="BQ144" s="31">
        <v>0.28630488089869721</v>
      </c>
      <c r="BR144" s="31">
        <v>0.63386166435644609</v>
      </c>
      <c r="BS144" s="31">
        <v>4.0698377508176044E-2</v>
      </c>
      <c r="BT144" s="31">
        <v>0.331854817494044</v>
      </c>
      <c r="BU144" s="31">
        <v>0.99563501090763773</v>
      </c>
      <c r="BV144" s="31">
        <v>0.87196746345935416</v>
      </c>
      <c r="BW144" s="31">
        <v>0.24543572649204873</v>
      </c>
      <c r="BX144" s="31">
        <v>1.0099882341880682</v>
      </c>
      <c r="BY144" s="31">
        <v>0.51287875276892103</v>
      </c>
      <c r="BZ144" s="31" t="s">
        <v>136</v>
      </c>
      <c r="CA144" s="31">
        <v>0.21697823128622731</v>
      </c>
      <c r="CB144" s="31">
        <v>0.29769051894765014</v>
      </c>
      <c r="CC144" s="31">
        <v>1.847780518123693</v>
      </c>
      <c r="CD144" s="31">
        <v>0.48500415844028566</v>
      </c>
      <c r="CE144" s="31" t="s">
        <v>136</v>
      </c>
      <c r="CF144" s="31">
        <v>0.92383089024663545</v>
      </c>
      <c r="CG144" s="32">
        <v>1.3260096303945299</v>
      </c>
    </row>
    <row r="145" spans="1:85" x14ac:dyDescent="0.3">
      <c r="A145" s="30" t="s">
        <v>164</v>
      </c>
      <c r="B145" s="31">
        <v>75.149893888367188</v>
      </c>
      <c r="C145" s="31">
        <v>55.28509594846502</v>
      </c>
      <c r="D145" s="31">
        <v>66.086238775495218</v>
      </c>
      <c r="E145" s="31">
        <v>73.53140745771924</v>
      </c>
      <c r="F145" s="31">
        <v>72.865153873757279</v>
      </c>
      <c r="G145" s="31">
        <v>88.258443058790618</v>
      </c>
      <c r="H145" s="31">
        <v>98.579246583806906</v>
      </c>
      <c r="I145" s="31">
        <v>47.393818596720998</v>
      </c>
      <c r="J145" s="31">
        <v>96.315277310971709</v>
      </c>
      <c r="K145" s="31">
        <v>86.194623314857012</v>
      </c>
      <c r="L145" s="31">
        <v>0.33377669330794718</v>
      </c>
      <c r="M145" s="31">
        <v>0.88029968490245547</v>
      </c>
      <c r="N145" s="31">
        <v>1.0148673494706895</v>
      </c>
      <c r="O145" s="31">
        <v>0.97486546458687595</v>
      </c>
      <c r="P145" s="31">
        <v>0.54096921255820496</v>
      </c>
      <c r="Q145" s="31">
        <v>3.3388423043236484E-2</v>
      </c>
      <c r="R145" s="31">
        <v>0.36375202493947151</v>
      </c>
      <c r="S145" s="31">
        <v>0.89671932495543305</v>
      </c>
      <c r="T145" s="31">
        <v>8.9003657250528861E-2</v>
      </c>
      <c r="U145" s="31">
        <v>1.29004656735843</v>
      </c>
      <c r="V145" s="31">
        <v>0.29300158227024908</v>
      </c>
      <c r="W145" s="31">
        <v>1.6748890272654253</v>
      </c>
      <c r="X145" s="31">
        <v>0.6970642928855989</v>
      </c>
      <c r="Y145" s="31">
        <v>0.15702421181041948</v>
      </c>
      <c r="Z145" s="31" t="s">
        <v>177</v>
      </c>
      <c r="AA145" s="31">
        <v>0.85977063651104257</v>
      </c>
      <c r="AB145" s="31">
        <v>4.995900535285374E-2</v>
      </c>
      <c r="AC145" s="31">
        <v>0.10858468433624704</v>
      </c>
      <c r="AD145" s="31">
        <v>0.69725959019201067</v>
      </c>
      <c r="AE145" s="31">
        <v>0.2146187135888348</v>
      </c>
      <c r="AF145" s="31">
        <v>74.716371767382583</v>
      </c>
      <c r="AG145" s="31">
        <v>73.688406770413252</v>
      </c>
      <c r="AH145" s="31">
        <v>90.13171095282425</v>
      </c>
      <c r="AI145" s="32">
        <v>60.009404548262566</v>
      </c>
      <c r="AJ145" s="31">
        <v>59.424230620875925</v>
      </c>
      <c r="AK145" s="31">
        <v>72.131999209070642</v>
      </c>
      <c r="AL145" s="31">
        <v>26.662646056554351</v>
      </c>
      <c r="AM145" s="31">
        <v>158.19704393172103</v>
      </c>
      <c r="AN145" s="31">
        <v>84.702441069987913</v>
      </c>
      <c r="AO145" s="31">
        <v>74.852775663551625</v>
      </c>
      <c r="AP145" s="31">
        <v>53.580512103709651</v>
      </c>
      <c r="AQ145" s="31">
        <v>88.634711433415291</v>
      </c>
      <c r="AR145" s="31">
        <v>105.50560659842618</v>
      </c>
      <c r="AS145" s="31">
        <v>117.0733485430076</v>
      </c>
      <c r="AT145" s="31">
        <v>60.690559071642873</v>
      </c>
      <c r="AU145" s="31">
        <v>88.615510230550527</v>
      </c>
      <c r="AV145" s="31">
        <v>95.47211713389278</v>
      </c>
      <c r="AW145" s="31">
        <v>43.50499802580223</v>
      </c>
      <c r="AX145" s="31">
        <v>81.226820546347199</v>
      </c>
      <c r="AY145" s="31">
        <v>75.574360237093529</v>
      </c>
      <c r="AZ145" s="31">
        <v>110.97995549314601</v>
      </c>
      <c r="BA145" s="31">
        <v>75.605144410402588</v>
      </c>
      <c r="BB145" s="31">
        <v>126.40938232179843</v>
      </c>
      <c r="BC145" s="31">
        <v>86.307183953226314</v>
      </c>
      <c r="BD145" s="31">
        <v>100.15419586242186</v>
      </c>
      <c r="BE145" s="31">
        <v>61.891443446850026</v>
      </c>
      <c r="BF145" s="31">
        <v>102.89240941349205</v>
      </c>
      <c r="BG145" s="31">
        <v>90.009184872392296</v>
      </c>
      <c r="BH145" s="31">
        <v>73.431303435623903</v>
      </c>
      <c r="BI145" s="31">
        <v>56.718836836102206</v>
      </c>
      <c r="BJ145" s="31">
        <v>63.385734751507286</v>
      </c>
      <c r="BK145" s="31">
        <v>86.318833801432518</v>
      </c>
      <c r="BL145" s="31">
        <v>82.315073146451212</v>
      </c>
      <c r="BM145" s="31">
        <v>35.993697259066145</v>
      </c>
      <c r="BN145" s="31">
        <v>40.443802080836626</v>
      </c>
      <c r="BO145" s="31">
        <v>38.408188896655602</v>
      </c>
      <c r="BP145" s="32">
        <v>79.308454809878228</v>
      </c>
      <c r="BQ145" s="31">
        <v>46.232314150382464</v>
      </c>
      <c r="BR145" s="31">
        <v>64.020046338505907</v>
      </c>
      <c r="BS145" s="31">
        <v>39.142513487958503</v>
      </c>
      <c r="BT145" s="31">
        <v>28.073948443994002</v>
      </c>
      <c r="BU145" s="31">
        <v>57.411932590455713</v>
      </c>
      <c r="BV145" s="31">
        <v>76.498594840998365</v>
      </c>
      <c r="BW145" s="31">
        <v>52.31840024424443</v>
      </c>
      <c r="BX145" s="31">
        <v>86.65258069798027</v>
      </c>
      <c r="BY145" s="31">
        <v>68.984496183293956</v>
      </c>
      <c r="BZ145" s="31">
        <v>2.2283681685685335E-2</v>
      </c>
      <c r="CA145" s="31">
        <v>42.82926974331393</v>
      </c>
      <c r="CB145" s="31">
        <v>142.66817487449319</v>
      </c>
      <c r="CC145" s="31">
        <v>99.368364556797232</v>
      </c>
      <c r="CD145" s="31">
        <v>65.852279766247307</v>
      </c>
      <c r="CE145" s="31">
        <v>9.1090322175944252</v>
      </c>
      <c r="CF145" s="31">
        <v>72.606056544305645</v>
      </c>
      <c r="CG145" s="32">
        <v>79.898940222732904</v>
      </c>
    </row>
    <row r="146" spans="1:85" x14ac:dyDescent="0.3">
      <c r="A146" s="30" t="s">
        <v>165</v>
      </c>
      <c r="B146" s="31">
        <v>0.13693674113359611</v>
      </c>
      <c r="C146" s="31">
        <v>5.1419999537512563E-2</v>
      </c>
      <c r="D146" s="31" t="s">
        <v>136</v>
      </c>
      <c r="E146" s="31">
        <v>0.29229249773935106</v>
      </c>
      <c r="F146" s="31" t="s">
        <v>136</v>
      </c>
      <c r="G146" s="31">
        <v>8.6616287394709734E-3</v>
      </c>
      <c r="H146" s="31" t="s">
        <v>136</v>
      </c>
      <c r="I146" s="31" t="s">
        <v>136</v>
      </c>
      <c r="J146" s="31" t="s">
        <v>136</v>
      </c>
      <c r="K146" s="31" t="s">
        <v>136</v>
      </c>
      <c r="L146" s="31">
        <v>38.488912553472268</v>
      </c>
      <c r="M146" s="31">
        <v>60.003962129464945</v>
      </c>
      <c r="N146" s="31">
        <v>78.03714169710922</v>
      </c>
      <c r="O146" s="31">
        <v>75.997925223229871</v>
      </c>
      <c r="P146" s="31">
        <v>82.845805843060901</v>
      </c>
      <c r="Q146" s="31">
        <v>42.420697803623646</v>
      </c>
      <c r="R146" s="31">
        <v>62.12444760310467</v>
      </c>
      <c r="S146" s="31">
        <v>99.372140812070541</v>
      </c>
      <c r="T146" s="31">
        <v>45.756178110251192</v>
      </c>
      <c r="U146" s="31">
        <v>96.020363537822192</v>
      </c>
      <c r="V146" s="31">
        <v>44.049252905615653</v>
      </c>
      <c r="W146" s="31">
        <v>98.241711188998963</v>
      </c>
      <c r="X146" s="31">
        <v>72.016786484995635</v>
      </c>
      <c r="Y146" s="31">
        <v>39.724032882380293</v>
      </c>
      <c r="Z146" s="31">
        <v>37.675799603970141</v>
      </c>
      <c r="AA146" s="31">
        <v>61.774233699567105</v>
      </c>
      <c r="AB146" s="31">
        <v>35.800442199735521</v>
      </c>
      <c r="AC146" s="31">
        <v>43.748568815369559</v>
      </c>
      <c r="AD146" s="31">
        <v>91.412051397139351</v>
      </c>
      <c r="AE146" s="31">
        <v>71.158434240092859</v>
      </c>
      <c r="AF146" s="31">
        <v>0.17864568608427653</v>
      </c>
      <c r="AG146" s="31">
        <v>0.17444988063143479</v>
      </c>
      <c r="AH146" s="31">
        <v>0.1568931671254673</v>
      </c>
      <c r="AI146" s="32">
        <v>0.17399630581597947</v>
      </c>
      <c r="AJ146" s="31">
        <v>0.15773938045896641</v>
      </c>
      <c r="AK146" s="31">
        <v>0.10175651260370337</v>
      </c>
      <c r="AL146" s="31">
        <v>4.3323696178768405E-2</v>
      </c>
      <c r="AM146" s="31">
        <v>0.17640980032285156</v>
      </c>
      <c r="AN146" s="31">
        <v>0.19170452104646601</v>
      </c>
      <c r="AO146" s="31">
        <v>7.9403697931104661E-2</v>
      </c>
      <c r="AP146" s="31">
        <v>3.9526512061767723E-2</v>
      </c>
      <c r="AQ146" s="31">
        <v>4.4373233304957169E-2</v>
      </c>
      <c r="AR146" s="31">
        <v>0.104407278838196</v>
      </c>
      <c r="AS146" s="31">
        <v>9.6618791630255718E-2</v>
      </c>
      <c r="AT146" s="31">
        <v>7.1688632029538568E-2</v>
      </c>
      <c r="AU146" s="31">
        <v>0.10656382674265397</v>
      </c>
      <c r="AV146" s="31">
        <v>2.0114573225856681E-2</v>
      </c>
      <c r="AW146" s="31" t="s">
        <v>136</v>
      </c>
      <c r="AX146" s="31" t="s">
        <v>136</v>
      </c>
      <c r="AY146" s="31">
        <v>7.7910459627010556E-2</v>
      </c>
      <c r="AZ146" s="31">
        <v>0.12846043585853201</v>
      </c>
      <c r="BA146" s="31">
        <v>4.4174342665780804E-2</v>
      </c>
      <c r="BB146" s="31">
        <v>5.3897549205854656E-2</v>
      </c>
      <c r="BC146" s="31">
        <v>0.30381123668767462</v>
      </c>
      <c r="BD146" s="31">
        <v>0.27182512326096081</v>
      </c>
      <c r="BE146" s="31">
        <v>0.23591481135372167</v>
      </c>
      <c r="BF146" s="31">
        <v>0.2308276401243321</v>
      </c>
      <c r="BG146" s="31">
        <v>0.15035077797697163</v>
      </c>
      <c r="BH146" s="31">
        <v>0.11930784111209901</v>
      </c>
      <c r="BI146" s="31">
        <v>0.1095782617126</v>
      </c>
      <c r="BJ146" s="31">
        <v>7.7135730152626023E-2</v>
      </c>
      <c r="BK146" s="31">
        <v>0.14591680342924698</v>
      </c>
      <c r="BL146" s="31">
        <v>0.10350449914827944</v>
      </c>
      <c r="BM146" s="31">
        <v>5.8278899259116675E-2</v>
      </c>
      <c r="BN146" s="31">
        <v>4.6491336202159499E-2</v>
      </c>
      <c r="BO146" s="31">
        <v>4.0390235014824721E-2</v>
      </c>
      <c r="BP146" s="32">
        <v>6.2348168268002067E-2</v>
      </c>
      <c r="BQ146" s="31">
        <v>2.1315713071664522E-2</v>
      </c>
      <c r="BR146" s="31">
        <v>3.46177376693921E-2</v>
      </c>
      <c r="BS146" s="31" t="s">
        <v>136</v>
      </c>
      <c r="BT146" s="31" t="s">
        <v>136</v>
      </c>
      <c r="BU146" s="31">
        <v>0.3310249392256433</v>
      </c>
      <c r="BV146" s="31">
        <v>2.8328969945133543E-2</v>
      </c>
      <c r="BW146" s="31" t="s">
        <v>136</v>
      </c>
      <c r="BX146" s="31">
        <v>0.10866662589928279</v>
      </c>
      <c r="BY146" s="31">
        <v>1.5602067643150485E-3</v>
      </c>
      <c r="BZ146" s="31">
        <v>0.11312004663846648</v>
      </c>
      <c r="CA146" s="31" t="s">
        <v>136</v>
      </c>
      <c r="CB146" s="31" t="s">
        <v>136</v>
      </c>
      <c r="CC146" s="31">
        <v>4.7554575079443072E-2</v>
      </c>
      <c r="CD146" s="31" t="s">
        <v>136</v>
      </c>
      <c r="CE146" s="31" t="s">
        <v>136</v>
      </c>
      <c r="CF146" s="31" t="s">
        <v>136</v>
      </c>
      <c r="CG146" s="32">
        <v>8.4762566379094125E-3</v>
      </c>
    </row>
    <row r="147" spans="1:85" x14ac:dyDescent="0.3">
      <c r="A147" s="30" t="s">
        <v>166</v>
      </c>
      <c r="B147" s="31">
        <v>0.19407280767221183</v>
      </c>
      <c r="C147" s="31">
        <v>7.8710747956038454E-2</v>
      </c>
      <c r="D147" s="31">
        <v>2.7662860123966872E-2</v>
      </c>
      <c r="E147" s="31">
        <v>0.31686109551009328</v>
      </c>
      <c r="F147" s="31" t="s">
        <v>136</v>
      </c>
      <c r="G147" s="31">
        <v>3.0371626546247265E-2</v>
      </c>
      <c r="H147" s="31" t="s">
        <v>136</v>
      </c>
      <c r="I147" s="31" t="s">
        <v>136</v>
      </c>
      <c r="J147" s="31" t="s">
        <v>136</v>
      </c>
      <c r="K147" s="31" t="s">
        <v>136</v>
      </c>
      <c r="L147" s="31">
        <v>0.54153582224759433</v>
      </c>
      <c r="M147" s="31">
        <v>0.40894649111954606</v>
      </c>
      <c r="N147" s="31">
        <v>0.38934101533553267</v>
      </c>
      <c r="O147" s="31">
        <v>0.35537643396548207</v>
      </c>
      <c r="P147" s="31">
        <v>0.256122659681572</v>
      </c>
      <c r="Q147" s="31">
        <v>0.25576200382531378</v>
      </c>
      <c r="R147" s="31">
        <v>0.23647394853006179</v>
      </c>
      <c r="S147" s="31">
        <v>0.2214214902675411</v>
      </c>
      <c r="T147" s="31">
        <v>0.23644400827497949</v>
      </c>
      <c r="U147" s="31">
        <v>0.21467762825999001</v>
      </c>
      <c r="V147" s="31">
        <v>0.17583304808913183</v>
      </c>
      <c r="W147" s="31">
        <v>0.20010316043306156</v>
      </c>
      <c r="X147" s="31">
        <v>0.16480546107770716</v>
      </c>
      <c r="Y147" s="31">
        <v>0.15445862764451007</v>
      </c>
      <c r="Z147" s="31">
        <v>0.10254330972803505</v>
      </c>
      <c r="AA147" s="31">
        <v>0.13216262183960256</v>
      </c>
      <c r="AB147" s="31">
        <v>0.10382550959659542</v>
      </c>
      <c r="AC147" s="31">
        <v>0.12014255724369796</v>
      </c>
      <c r="AD147" s="31">
        <v>0.11721714873295749</v>
      </c>
      <c r="AE147" s="31">
        <v>5.4870383690125153E-2</v>
      </c>
      <c r="AF147" s="31">
        <v>0.29879915476737462</v>
      </c>
      <c r="AG147" s="31">
        <v>0.25943291214181757</v>
      </c>
      <c r="AH147" s="31">
        <v>0.22683044007933054</v>
      </c>
      <c r="AI147" s="32">
        <v>0.28347091947050407</v>
      </c>
      <c r="AJ147" s="31">
        <v>0.22315535759793761</v>
      </c>
      <c r="AK147" s="31">
        <v>0.18905042560358698</v>
      </c>
      <c r="AL147" s="31">
        <v>0.12126540787884436</v>
      </c>
      <c r="AM147" s="31">
        <v>0.2345651948230302</v>
      </c>
      <c r="AN147" s="31">
        <v>0.36854618459795901</v>
      </c>
      <c r="AO147" s="31">
        <v>0.15406084554360522</v>
      </c>
      <c r="AP147" s="31">
        <v>0.15127338056414366</v>
      </c>
      <c r="AQ147" s="31">
        <v>0.14926917994376007</v>
      </c>
      <c r="AR147" s="31">
        <v>0.17033657293547699</v>
      </c>
      <c r="AS147" s="31">
        <v>0.18308214803879563</v>
      </c>
      <c r="AT147" s="31">
        <v>0.17165585805498929</v>
      </c>
      <c r="AU147" s="31">
        <v>0.1933227827960432</v>
      </c>
      <c r="AV147" s="31">
        <v>0.11267246335111063</v>
      </c>
      <c r="AW147" s="31">
        <v>7.9534163560453119E-2</v>
      </c>
      <c r="AX147" s="31">
        <v>0.10283043136150011</v>
      </c>
      <c r="AY147" s="31">
        <v>0.17257570021279731</v>
      </c>
      <c r="AZ147" s="31">
        <v>0.21836642494321298</v>
      </c>
      <c r="BA147" s="31">
        <v>0.119793441849653</v>
      </c>
      <c r="BB147" s="31">
        <v>0.16099204160270669</v>
      </c>
      <c r="BC147" s="31">
        <v>0.32626156471275303</v>
      </c>
      <c r="BD147" s="31">
        <v>0.29663241024329251</v>
      </c>
      <c r="BE147" s="31">
        <v>0.23981323614278832</v>
      </c>
      <c r="BF147" s="31">
        <v>0.25408486069631181</v>
      </c>
      <c r="BG147" s="31">
        <v>0.17851718412855105</v>
      </c>
      <c r="BH147" s="31">
        <v>0.140168411670204</v>
      </c>
      <c r="BI147" s="31">
        <v>0.12846721961034099</v>
      </c>
      <c r="BJ147" s="31">
        <v>0.10874003000871867</v>
      </c>
      <c r="BK147" s="31">
        <v>0.169984446038145</v>
      </c>
      <c r="BL147" s="31">
        <v>0.11816986557019318</v>
      </c>
      <c r="BM147" s="31">
        <v>7.0270163509928499E-2</v>
      </c>
      <c r="BN147" s="31">
        <v>6.8194921110420206E-2</v>
      </c>
      <c r="BO147" s="31">
        <v>6.6625313590175816E-2</v>
      </c>
      <c r="BP147" s="32">
        <v>9.0044230138898521E-2</v>
      </c>
      <c r="BQ147" s="31">
        <v>4.5726077623550902E-2</v>
      </c>
      <c r="BR147" s="31">
        <v>5.1688978150022206E-2</v>
      </c>
      <c r="BS147" s="31">
        <v>2.3133511302947687E-2</v>
      </c>
      <c r="BT147" s="31">
        <v>1.43444822363657E-2</v>
      </c>
      <c r="BU147" s="31">
        <v>0.36493034736941482</v>
      </c>
      <c r="BV147" s="31">
        <v>6.2932416921746684E-2</v>
      </c>
      <c r="BW147" s="31" t="s">
        <v>136</v>
      </c>
      <c r="BX147" s="31">
        <v>0.14649093597753285</v>
      </c>
      <c r="BY147" s="31">
        <v>1.500749537660594E-2</v>
      </c>
      <c r="BZ147" s="31">
        <v>0.15791290545012199</v>
      </c>
      <c r="CA147" s="31" t="s">
        <v>136</v>
      </c>
      <c r="CB147" s="31" t="s">
        <v>136</v>
      </c>
      <c r="CC147" s="31">
        <v>8.2521410727659492E-2</v>
      </c>
      <c r="CD147" s="31" t="s">
        <v>136</v>
      </c>
      <c r="CE147" s="31" t="s">
        <v>136</v>
      </c>
      <c r="CF147" s="31">
        <v>9.4003383220672681E-3</v>
      </c>
      <c r="CG147" s="32">
        <v>2.6193293807633654E-2</v>
      </c>
    </row>
    <row r="148" spans="1:85" x14ac:dyDescent="0.3">
      <c r="A148" s="30" t="s">
        <v>167</v>
      </c>
      <c r="B148" s="31">
        <v>7.4091141071556494</v>
      </c>
      <c r="C148" s="31">
        <v>13.17431625937618</v>
      </c>
      <c r="D148" s="31">
        <v>6.8293152833656512</v>
      </c>
      <c r="E148" s="31">
        <v>16.04269682144373</v>
      </c>
      <c r="F148" s="31">
        <v>11.795680984348927</v>
      </c>
      <c r="G148" s="31">
        <v>18.648274385136382</v>
      </c>
      <c r="H148" s="31">
        <v>19.305421032054614</v>
      </c>
      <c r="I148" s="31">
        <v>7.7176299080798554</v>
      </c>
      <c r="J148" s="31">
        <v>13.851219617149907</v>
      </c>
      <c r="K148" s="31">
        <v>15.664308128889223</v>
      </c>
      <c r="L148" s="31">
        <v>8.3763560877960828</v>
      </c>
      <c r="M148" s="31">
        <v>12.80507749077487</v>
      </c>
      <c r="N148" s="31">
        <v>14.258245507753042</v>
      </c>
      <c r="O148" s="31">
        <v>13.186421555516935</v>
      </c>
      <c r="P148" s="31">
        <v>11.609397206946301</v>
      </c>
      <c r="Q148" s="31">
        <v>7.6164583191900617</v>
      </c>
      <c r="R148" s="31">
        <v>12.593262170267897</v>
      </c>
      <c r="S148" s="31">
        <v>12.809026390884464</v>
      </c>
      <c r="T148" s="31">
        <v>7.8246737734805532</v>
      </c>
      <c r="U148" s="31">
        <v>16.771280526377002</v>
      </c>
      <c r="V148" s="31">
        <v>7.7529366028754776</v>
      </c>
      <c r="W148" s="31">
        <v>17.721853278392164</v>
      </c>
      <c r="X148" s="31">
        <v>10.033267864093133</v>
      </c>
      <c r="Y148" s="31">
        <v>10.327077243309317</v>
      </c>
      <c r="Z148" s="31">
        <v>10.02946292343624</v>
      </c>
      <c r="AA148" s="31">
        <v>13.157666642948893</v>
      </c>
      <c r="AB148" s="31">
        <v>9.2925646033219369</v>
      </c>
      <c r="AC148" s="31">
        <v>10.670248418829519</v>
      </c>
      <c r="AD148" s="31">
        <v>13.06508987391153</v>
      </c>
      <c r="AE148" s="31">
        <v>10.607253816463665</v>
      </c>
      <c r="AF148" s="31">
        <v>10.838637676418829</v>
      </c>
      <c r="AG148" s="31">
        <v>12.558504930874628</v>
      </c>
      <c r="AH148" s="31">
        <v>14.160851001072238</v>
      </c>
      <c r="AI148" s="32">
        <v>13.918705117968534</v>
      </c>
      <c r="AJ148" s="31">
        <v>16.28872419118164</v>
      </c>
      <c r="AK148" s="31">
        <v>12.24632761756307</v>
      </c>
      <c r="AL148" s="31">
        <v>7.0927781089456223</v>
      </c>
      <c r="AM148" s="31">
        <v>20.402964795353949</v>
      </c>
      <c r="AN148" s="31">
        <v>19.851392117954003</v>
      </c>
      <c r="AO148" s="31">
        <v>8.8356976577417328</v>
      </c>
      <c r="AP148" s="31">
        <v>28.413737647647267</v>
      </c>
      <c r="AQ148" s="31">
        <v>8.9651028342854246</v>
      </c>
      <c r="AR148" s="31">
        <v>19.055738756952035</v>
      </c>
      <c r="AS148" s="31">
        <v>19.169384445338455</v>
      </c>
      <c r="AT148" s="31">
        <v>13.912774709934613</v>
      </c>
      <c r="AU148" s="31">
        <v>19.391567792930399</v>
      </c>
      <c r="AV148" s="31">
        <v>16.886778034034538</v>
      </c>
      <c r="AW148" s="31">
        <v>15.777315793648416</v>
      </c>
      <c r="AX148" s="31">
        <v>8.2125490257672862</v>
      </c>
      <c r="AY148" s="31">
        <v>19.770207429095208</v>
      </c>
      <c r="AZ148" s="31">
        <v>24.905084416754701</v>
      </c>
      <c r="BA148" s="31">
        <v>13.76079046109775</v>
      </c>
      <c r="BB148" s="31">
        <v>23.145435925091316</v>
      </c>
      <c r="BC148" s="31">
        <v>12.885542031672946</v>
      </c>
      <c r="BD148" s="31">
        <v>13.150422852684294</v>
      </c>
      <c r="BE148" s="31">
        <v>8.2856102313837177</v>
      </c>
      <c r="BF148" s="31">
        <v>11.618932299099489</v>
      </c>
      <c r="BG148" s="31">
        <v>14.906898020164908</v>
      </c>
      <c r="BH148" s="31">
        <v>8.9147351549737301</v>
      </c>
      <c r="BI148" s="31">
        <v>11.463451897331701</v>
      </c>
      <c r="BJ148" s="31">
        <v>8.6613811045717188</v>
      </c>
      <c r="BK148" s="31">
        <v>15.7490892687892</v>
      </c>
      <c r="BL148" s="31">
        <v>12.044962019773829</v>
      </c>
      <c r="BM148" s="31">
        <v>8.1885035881845791</v>
      </c>
      <c r="BN148" s="31">
        <v>7.0590581323708088</v>
      </c>
      <c r="BO148" s="31">
        <v>8.5083082063552009</v>
      </c>
      <c r="BP148" s="32">
        <v>13.122063546446149</v>
      </c>
      <c r="BQ148" s="31">
        <v>2.6568199456556774</v>
      </c>
      <c r="BR148" s="31">
        <v>7.1129304755102902</v>
      </c>
      <c r="BS148" s="31">
        <v>2.0506230439102975</v>
      </c>
      <c r="BT148" s="31">
        <v>5.1259953782612095</v>
      </c>
      <c r="BU148" s="31">
        <v>11.871520893530398</v>
      </c>
      <c r="BV148" s="31">
        <v>12.267887713058142</v>
      </c>
      <c r="BW148" s="31">
        <v>3.3261529879177054</v>
      </c>
      <c r="BX148" s="31">
        <v>14.365755628706166</v>
      </c>
      <c r="BY148" s="31">
        <v>10.458823941418748</v>
      </c>
      <c r="BZ148" s="31">
        <v>4.6377042715412153E-2</v>
      </c>
      <c r="CA148" s="31">
        <v>3.3565560018276548</v>
      </c>
      <c r="CB148" s="31">
        <v>10.016992880776082</v>
      </c>
      <c r="CC148" s="31">
        <v>21.04259949323437</v>
      </c>
      <c r="CD148" s="31">
        <v>9.1035947955073695</v>
      </c>
      <c r="CE148" s="31">
        <v>0.6078634441433709</v>
      </c>
      <c r="CF148" s="31">
        <v>14.691617331835687</v>
      </c>
      <c r="CG148" s="32">
        <v>13.668473383328635</v>
      </c>
    </row>
    <row r="149" spans="1:85" x14ac:dyDescent="0.3">
      <c r="A149" s="30" t="s">
        <v>168</v>
      </c>
      <c r="B149" s="31">
        <v>1.3047778386305007</v>
      </c>
      <c r="C149" s="31">
        <v>1.6086717063993046</v>
      </c>
      <c r="D149" s="31">
        <v>0.7734915323294298</v>
      </c>
      <c r="E149" s="31">
        <v>2.8367997772600599</v>
      </c>
      <c r="F149" s="31">
        <v>1.6631198477809417</v>
      </c>
      <c r="G149" s="31">
        <v>3.2761319923271972</v>
      </c>
      <c r="H149" s="31">
        <v>3.1944185263431288</v>
      </c>
      <c r="I149" s="31">
        <v>1.3126845457746574</v>
      </c>
      <c r="J149" s="31">
        <v>1.6912444825847557</v>
      </c>
      <c r="K149" s="31">
        <v>2.6724828140925205</v>
      </c>
      <c r="L149" s="31">
        <v>8.4600638050130712</v>
      </c>
      <c r="M149" s="31">
        <v>12.926760979192084</v>
      </c>
      <c r="N149" s="31">
        <v>14.349163476228425</v>
      </c>
      <c r="O149" s="31">
        <v>13.239337180466647</v>
      </c>
      <c r="P149" s="31">
        <v>11.638556897178299</v>
      </c>
      <c r="Q149" s="31">
        <v>7.6264842415009335</v>
      </c>
      <c r="R149" s="31">
        <v>12.765894699522704</v>
      </c>
      <c r="S149" s="31">
        <v>12.758799929815947</v>
      </c>
      <c r="T149" s="31">
        <v>7.9397775610479355</v>
      </c>
      <c r="U149" s="31">
        <v>16.821685559013002</v>
      </c>
      <c r="V149" s="31">
        <v>8.052845616622319</v>
      </c>
      <c r="W149" s="31">
        <v>17.843888814818342</v>
      </c>
      <c r="X149" s="31">
        <v>10.090533684977485</v>
      </c>
      <c r="Y149" s="31">
        <v>10.409045724410733</v>
      </c>
      <c r="Z149" s="31">
        <v>10.023403999222751</v>
      </c>
      <c r="AA149" s="31">
        <v>13.403263289305803</v>
      </c>
      <c r="AB149" s="31">
        <v>9.4354537827196356</v>
      </c>
      <c r="AC149" s="31">
        <v>10.887478707860909</v>
      </c>
      <c r="AD149" s="31">
        <v>13.178567741544079</v>
      </c>
      <c r="AE149" s="31">
        <v>10.593346402758376</v>
      </c>
      <c r="AF149" s="31">
        <v>6.7172590512991111</v>
      </c>
      <c r="AG149" s="31">
        <v>2.7649822560813972</v>
      </c>
      <c r="AH149" s="31">
        <v>2.9823709205605908</v>
      </c>
      <c r="AI149" s="32">
        <v>2.5459643408747166</v>
      </c>
      <c r="AJ149" s="31">
        <v>3.3691139215361425</v>
      </c>
      <c r="AK149" s="31">
        <v>1.7363671154996572</v>
      </c>
      <c r="AL149" s="31">
        <v>4.846632150746822E-2</v>
      </c>
      <c r="AM149" s="31">
        <v>4.1416558866020212</v>
      </c>
      <c r="AN149" s="31">
        <v>4.1177624481969302</v>
      </c>
      <c r="AO149" s="31">
        <v>1.110231563438276</v>
      </c>
      <c r="AP149" s="31">
        <v>1.347840327315486</v>
      </c>
      <c r="AQ149" s="31">
        <v>0.74282861855067761</v>
      </c>
      <c r="AR149" s="31">
        <v>2.2972428995833818</v>
      </c>
      <c r="AS149" s="31">
        <v>2.4198777945049113</v>
      </c>
      <c r="AT149" s="31">
        <v>2.1118324352326088</v>
      </c>
      <c r="AU149" s="31">
        <v>3.7710052276611785</v>
      </c>
      <c r="AV149" s="31">
        <v>1.9518449411677752</v>
      </c>
      <c r="AW149" s="31" t="s">
        <v>136</v>
      </c>
      <c r="AX149" s="31" t="s">
        <v>136</v>
      </c>
      <c r="AY149" s="31">
        <v>0.84572021256491425</v>
      </c>
      <c r="AZ149" s="31">
        <v>4.5370240243924203</v>
      </c>
      <c r="BA149" s="31">
        <v>0.53190071127475513</v>
      </c>
      <c r="BB149" s="31">
        <v>3.7541444940726438</v>
      </c>
      <c r="BC149" s="31">
        <v>4.9336337712391982</v>
      </c>
      <c r="BD149" s="31">
        <v>3.8684423567137491</v>
      </c>
      <c r="BE149" s="31">
        <v>3.6882511905238746</v>
      </c>
      <c r="BF149" s="31">
        <v>4.180546240008181</v>
      </c>
      <c r="BG149" s="31">
        <v>4.2204994279447279</v>
      </c>
      <c r="BH149" s="31">
        <v>2.5755286496888301</v>
      </c>
      <c r="BI149" s="31">
        <v>2.9141094482761702</v>
      </c>
      <c r="BJ149" s="31">
        <v>2.3910245284785696</v>
      </c>
      <c r="BK149" s="31">
        <v>5.1709591346581298</v>
      </c>
      <c r="BL149" s="31">
        <v>3.2990437939164425</v>
      </c>
      <c r="BM149" s="31">
        <v>2.5332726853285052</v>
      </c>
      <c r="BN149" s="31">
        <v>3.5485609938652023</v>
      </c>
      <c r="BO149" s="31">
        <v>2.2389232153327261</v>
      </c>
      <c r="BP149" s="32">
        <v>3.775091854844864</v>
      </c>
      <c r="BQ149" s="31">
        <v>0.42047042444184629</v>
      </c>
      <c r="BR149" s="31">
        <v>1.3890892103058901</v>
      </c>
      <c r="BS149" s="31">
        <v>0.20766633064620899</v>
      </c>
      <c r="BT149" s="31">
        <v>1.3444028647997202</v>
      </c>
      <c r="BU149" s="31">
        <v>3.2372214642540209</v>
      </c>
      <c r="BV149" s="31">
        <v>2.435417644152893</v>
      </c>
      <c r="BW149" s="31">
        <v>0.27011323222777683</v>
      </c>
      <c r="BX149" s="31">
        <v>3.8718763273999364</v>
      </c>
      <c r="BY149" s="31">
        <v>2.2253544086097317</v>
      </c>
      <c r="BZ149" s="31" t="s">
        <v>136</v>
      </c>
      <c r="CA149" s="31">
        <v>0.24802758505403974</v>
      </c>
      <c r="CB149" s="31">
        <v>1.3476838167043339</v>
      </c>
      <c r="CC149" s="31">
        <v>5.2687488231324977</v>
      </c>
      <c r="CD149" s="31">
        <v>0.96491674334569044</v>
      </c>
      <c r="CE149" s="31" t="s">
        <v>136</v>
      </c>
      <c r="CF149" s="31">
        <v>3.0379370037755509</v>
      </c>
      <c r="CG149" s="32">
        <v>2.7876935976840693</v>
      </c>
    </row>
    <row r="150" spans="1:85" s="23" customFormat="1" x14ac:dyDescent="0.3">
      <c r="A150" s="33" t="s">
        <v>169</v>
      </c>
      <c r="B150" s="34">
        <v>0.52629692809847861</v>
      </c>
      <c r="C150" s="34">
        <v>0.52270661707868549</v>
      </c>
      <c r="D150" s="34">
        <v>0.36121429651386289</v>
      </c>
      <c r="E150" s="34">
        <v>1.1744556329398437</v>
      </c>
      <c r="F150" s="34">
        <v>0.61479653244649146</v>
      </c>
      <c r="G150" s="34">
        <v>0.94081117144489257</v>
      </c>
      <c r="H150" s="34">
        <v>1.3020815203858829</v>
      </c>
      <c r="I150" s="34">
        <v>0.79109851650751606</v>
      </c>
      <c r="J150" s="34">
        <v>0.53644938437716205</v>
      </c>
      <c r="K150" s="34">
        <v>0.85923852815267687</v>
      </c>
      <c r="L150" s="34">
        <v>2.0195719390940594</v>
      </c>
      <c r="M150" s="34">
        <v>2.990475312669608</v>
      </c>
      <c r="N150" s="34">
        <v>3.1757319236469916</v>
      </c>
      <c r="O150" s="34">
        <v>3.1433572243746757</v>
      </c>
      <c r="P150" s="34">
        <v>2.2601803052165601</v>
      </c>
      <c r="Q150" s="34">
        <v>1.8712126788832264</v>
      </c>
      <c r="R150" s="34">
        <v>2.3143525094855795</v>
      </c>
      <c r="S150" s="34">
        <v>2.7721405819062914</v>
      </c>
      <c r="T150" s="34">
        <v>1.7768183076247359</v>
      </c>
      <c r="U150" s="34">
        <v>3.9937773349644603</v>
      </c>
      <c r="V150" s="34">
        <v>2.7523621097771294</v>
      </c>
      <c r="W150" s="34">
        <v>4.0004636627261947</v>
      </c>
      <c r="X150" s="34">
        <v>2.0871097623160524</v>
      </c>
      <c r="Y150" s="34">
        <v>1.4934907008024685</v>
      </c>
      <c r="Z150" s="34">
        <v>1.3478661262252283</v>
      </c>
      <c r="AA150" s="34">
        <v>3.0149820314941875</v>
      </c>
      <c r="AB150" s="34">
        <v>2.1639820429719934</v>
      </c>
      <c r="AC150" s="34">
        <v>2.695714370191681</v>
      </c>
      <c r="AD150" s="34">
        <v>2.5725225821224926</v>
      </c>
      <c r="AE150" s="34">
        <v>1.6324360761944632</v>
      </c>
      <c r="AF150" s="34">
        <v>1.4871796380216966</v>
      </c>
      <c r="AG150" s="34">
        <v>0.77649903263966413</v>
      </c>
      <c r="AH150" s="34">
        <v>0.18654592122052646</v>
      </c>
      <c r="AI150" s="36">
        <v>0.84618810766754349</v>
      </c>
      <c r="AJ150" s="34">
        <v>0.50145038529914543</v>
      </c>
      <c r="AK150" s="34">
        <v>0.20656092627238165</v>
      </c>
      <c r="AL150" s="34" t="s">
        <v>136</v>
      </c>
      <c r="AM150" s="34">
        <v>0.57644122458826119</v>
      </c>
      <c r="AN150" s="34">
        <v>1.17613467326414</v>
      </c>
      <c r="AO150" s="34" t="s">
        <v>136</v>
      </c>
      <c r="AP150" s="34">
        <v>0.18733413858993472</v>
      </c>
      <c r="AQ150" s="34">
        <v>1.31694851040478</v>
      </c>
      <c r="AR150" s="34">
        <v>0.94335164468864141</v>
      </c>
      <c r="AS150" s="34">
        <v>0.40472094936635256</v>
      </c>
      <c r="AT150" s="34">
        <v>0.92929632178934252</v>
      </c>
      <c r="AU150" s="34">
        <v>1.3173566015838436</v>
      </c>
      <c r="AV150" s="34">
        <v>0.30751008471555508</v>
      </c>
      <c r="AW150" s="34" t="s">
        <v>136</v>
      </c>
      <c r="AX150" s="34" t="s">
        <v>136</v>
      </c>
      <c r="AY150" s="34">
        <v>3.5678274638157245E-2</v>
      </c>
      <c r="AZ150" s="34">
        <v>1.5214052859172402</v>
      </c>
      <c r="BA150" s="34">
        <v>0.88388353692082178</v>
      </c>
      <c r="BB150" s="34">
        <v>1.0817880493852383</v>
      </c>
      <c r="BC150" s="34">
        <v>0.94368829893059547</v>
      </c>
      <c r="BD150" s="34">
        <v>0.53638439612965338</v>
      </c>
      <c r="BE150" s="34">
        <v>0.64461745431691597</v>
      </c>
      <c r="BF150" s="34">
        <v>1.0369823211895455</v>
      </c>
      <c r="BG150" s="34">
        <v>0.491608023234963</v>
      </c>
      <c r="BH150" s="34">
        <v>0.38832778826151304</v>
      </c>
      <c r="BI150" s="34">
        <v>0.55669031084453202</v>
      </c>
      <c r="BJ150" s="34">
        <v>0.48417968681553553</v>
      </c>
      <c r="BK150" s="34">
        <v>0.95324378010796718</v>
      </c>
      <c r="BL150" s="34">
        <v>0.46932602101875021</v>
      </c>
      <c r="BM150" s="34">
        <v>0.42454431771139656</v>
      </c>
      <c r="BN150" s="34">
        <v>0.7606681409007422</v>
      </c>
      <c r="BO150" s="34">
        <v>0.55348379327237973</v>
      </c>
      <c r="BP150" s="36">
        <v>0.72830828315318785</v>
      </c>
      <c r="BQ150" s="34">
        <v>0.118673005067852</v>
      </c>
      <c r="BR150" s="34">
        <v>0.65461635122510398</v>
      </c>
      <c r="BS150" s="34">
        <v>0.14475742934171101</v>
      </c>
      <c r="BT150" s="34">
        <v>0.37781737644229701</v>
      </c>
      <c r="BU150" s="34">
        <v>1.0987566562062259</v>
      </c>
      <c r="BV150" s="34">
        <v>0.5063741257619101</v>
      </c>
      <c r="BW150" s="34">
        <v>0.14675683408663842</v>
      </c>
      <c r="BX150" s="34">
        <v>1.2140983566691357</v>
      </c>
      <c r="BY150" s="34">
        <v>0.44754547672868267</v>
      </c>
      <c r="BZ150" s="34">
        <v>0.40937066374126696</v>
      </c>
      <c r="CA150" s="34">
        <v>0.59510193305956105</v>
      </c>
      <c r="CB150" s="34">
        <v>0.54856876056781978</v>
      </c>
      <c r="CC150" s="34">
        <v>1.2179341019821714</v>
      </c>
      <c r="CD150" s="34">
        <v>0.62294432115530785</v>
      </c>
      <c r="CE150" s="34">
        <v>4.6462166078401292E-2</v>
      </c>
      <c r="CF150" s="34">
        <v>0.59143557543780734</v>
      </c>
      <c r="CG150" s="36">
        <v>0.57323224036767684</v>
      </c>
    </row>
    <row r="151" spans="1:85" x14ac:dyDescent="0.3">
      <c r="A151" s="30"/>
      <c r="B151" s="31"/>
      <c r="E151" s="31"/>
      <c r="H151" s="31"/>
      <c r="I151" s="31"/>
      <c r="K151" s="31"/>
      <c r="S151" s="31"/>
      <c r="W151" s="31"/>
      <c r="X151" s="31"/>
      <c r="AA151" s="31"/>
      <c r="AH151" s="31"/>
      <c r="AI151" s="3"/>
      <c r="BP151" s="3"/>
    </row>
    <row r="152" spans="1:85" x14ac:dyDescent="0.3">
      <c r="B152" s="31"/>
      <c r="D152" s="10"/>
      <c r="E152" s="31"/>
      <c r="H152" s="31"/>
      <c r="I152" s="31"/>
      <c r="K152" s="31"/>
      <c r="S152" s="31"/>
      <c r="W152" s="31"/>
      <c r="X152" s="31"/>
      <c r="AA152" s="31"/>
      <c r="AH152" s="31"/>
      <c r="AI152" s="3"/>
      <c r="BP152" s="3"/>
    </row>
    <row r="153" spans="1:85" x14ac:dyDescent="0.3">
      <c r="B153" s="10"/>
      <c r="C153" s="10"/>
      <c r="D153" s="10"/>
      <c r="E153" s="10"/>
      <c r="F153" s="10"/>
      <c r="G153" s="10"/>
      <c r="H153" s="10"/>
      <c r="I153" s="10"/>
      <c r="J153" s="10"/>
      <c r="L153" s="10"/>
      <c r="M153" s="10"/>
      <c r="N153" s="10"/>
      <c r="O153" s="10"/>
      <c r="P153" s="10"/>
      <c r="Q153" s="10"/>
      <c r="S153" s="10"/>
      <c r="T153" s="10"/>
      <c r="U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9"/>
      <c r="AO153" s="10"/>
      <c r="BP153" s="3"/>
    </row>
    <row r="154" spans="1:85" x14ac:dyDescent="0.3">
      <c r="B154" s="10"/>
      <c r="C154" s="10"/>
      <c r="F154" s="10"/>
      <c r="G154" s="10"/>
      <c r="H154" s="10"/>
      <c r="I154" s="10"/>
      <c r="J154" s="10"/>
      <c r="M154" s="10"/>
      <c r="N154" s="10"/>
      <c r="O154" s="10"/>
      <c r="P154" s="10"/>
      <c r="Q154" s="10"/>
      <c r="S154" s="10"/>
      <c r="T154" s="10"/>
      <c r="W154" s="10"/>
      <c r="X154" s="10"/>
      <c r="Y154" s="10"/>
      <c r="AA154" s="10"/>
      <c r="AB154" s="10"/>
      <c r="AC154" s="10"/>
      <c r="AD154" s="10"/>
      <c r="AE154" s="10"/>
      <c r="AF154" s="10"/>
      <c r="AG154" s="10"/>
      <c r="AH154" s="10"/>
      <c r="AI154" s="19"/>
      <c r="AO154" s="10"/>
      <c r="BP154" s="3"/>
    </row>
    <row r="155" spans="1:85" x14ac:dyDescent="0.3"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  <c r="BS155" s="31"/>
      <c r="BT155" s="31"/>
      <c r="BU155" s="31"/>
      <c r="BV155" s="31"/>
      <c r="BW155" s="31"/>
      <c r="BX155" s="31"/>
      <c r="BY155" s="31"/>
      <c r="BZ155" s="31"/>
      <c r="CA155" s="31"/>
      <c r="CB155" s="31"/>
      <c r="CC155" s="31"/>
      <c r="CD155" s="31"/>
      <c r="CE155" s="31"/>
      <c r="CF155" s="31"/>
      <c r="CG155" s="32"/>
    </row>
    <row r="156" spans="1:85" x14ac:dyDescent="0.3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  <c r="BS156" s="31"/>
      <c r="BT156" s="31"/>
      <c r="BU156" s="31"/>
      <c r="BV156" s="31"/>
      <c r="BW156" s="31"/>
      <c r="BX156" s="31"/>
      <c r="BY156" s="31"/>
      <c r="BZ156" s="31"/>
      <c r="CA156" s="31"/>
      <c r="CB156" s="31"/>
      <c r="CC156" s="31"/>
      <c r="CD156" s="31"/>
      <c r="CE156" s="31"/>
      <c r="CF156" s="31"/>
      <c r="CG156" s="32"/>
    </row>
    <row r="157" spans="1:85" x14ac:dyDescent="0.3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  <c r="BS157" s="31"/>
      <c r="BT157" s="31"/>
      <c r="BU157" s="31"/>
      <c r="BV157" s="31"/>
      <c r="BW157" s="31"/>
      <c r="BX157" s="31"/>
      <c r="BY157" s="31"/>
      <c r="BZ157" s="31"/>
      <c r="CA157" s="31"/>
      <c r="CB157" s="31"/>
      <c r="CC157" s="31"/>
      <c r="CD157" s="31"/>
      <c r="CE157" s="31"/>
      <c r="CF157" s="31"/>
      <c r="CG157" s="32"/>
    </row>
    <row r="158" spans="1:85" x14ac:dyDescent="0.3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  <c r="BS158" s="31"/>
      <c r="BT158" s="31"/>
      <c r="BU158" s="31"/>
      <c r="BV158" s="31"/>
      <c r="BW158" s="31"/>
      <c r="BX158" s="31"/>
      <c r="BY158" s="31"/>
      <c r="BZ158" s="31"/>
      <c r="CA158" s="31"/>
      <c r="CB158" s="31"/>
      <c r="CC158" s="31"/>
      <c r="CD158" s="31"/>
      <c r="CE158" s="31"/>
      <c r="CF158" s="31"/>
      <c r="CG158" s="32"/>
    </row>
    <row r="159" spans="1:85" x14ac:dyDescent="0.3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  <c r="BS159" s="31"/>
      <c r="BT159" s="31"/>
      <c r="BU159" s="31"/>
      <c r="BV159" s="31"/>
      <c r="BW159" s="31"/>
      <c r="BX159" s="31"/>
      <c r="BY159" s="31"/>
      <c r="BZ159" s="31"/>
      <c r="CA159" s="31"/>
      <c r="CB159" s="31"/>
      <c r="CC159" s="31"/>
      <c r="CD159" s="31"/>
      <c r="CE159" s="31"/>
      <c r="CF159" s="31"/>
      <c r="CG159" s="32"/>
    </row>
    <row r="160" spans="1:85" x14ac:dyDescent="0.3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  <c r="BS160" s="31"/>
      <c r="BT160" s="31"/>
      <c r="BU160" s="31"/>
      <c r="BV160" s="31"/>
      <c r="BW160" s="31"/>
      <c r="BX160" s="31"/>
      <c r="BY160" s="31"/>
      <c r="BZ160" s="31"/>
      <c r="CA160" s="31"/>
      <c r="CB160" s="31"/>
      <c r="CC160" s="31"/>
      <c r="CD160" s="31"/>
      <c r="CE160" s="31"/>
      <c r="CF160" s="31"/>
      <c r="CG160" s="32"/>
    </row>
    <row r="161" spans="2:85" x14ac:dyDescent="0.3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  <c r="BS161" s="31"/>
      <c r="BT161" s="31"/>
      <c r="BU161" s="31"/>
      <c r="BV161" s="31"/>
      <c r="BW161" s="31"/>
      <c r="BX161" s="31"/>
      <c r="BY161" s="31"/>
      <c r="BZ161" s="31"/>
      <c r="CA161" s="31"/>
      <c r="CB161" s="31"/>
      <c r="CC161" s="31"/>
      <c r="CD161" s="31"/>
      <c r="CE161" s="31"/>
      <c r="CF161" s="31"/>
      <c r="CG161" s="32"/>
    </row>
    <row r="162" spans="2:85" x14ac:dyDescent="0.3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  <c r="BS162" s="31"/>
      <c r="BT162" s="31"/>
      <c r="BU162" s="31"/>
      <c r="BV162" s="31"/>
      <c r="BW162" s="31"/>
      <c r="BX162" s="31"/>
      <c r="BY162" s="31"/>
      <c r="BZ162" s="31"/>
      <c r="CA162" s="31"/>
      <c r="CB162" s="31"/>
      <c r="CC162" s="31"/>
      <c r="CD162" s="31"/>
      <c r="CE162" s="31"/>
      <c r="CF162" s="31"/>
      <c r="CG162" s="32"/>
    </row>
    <row r="163" spans="2:85" x14ac:dyDescent="0.3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  <c r="BS163" s="31"/>
      <c r="BT163" s="31"/>
      <c r="BU163" s="31"/>
      <c r="BV163" s="31"/>
      <c r="BW163" s="31"/>
      <c r="BX163" s="31"/>
      <c r="BY163" s="31"/>
      <c r="BZ163" s="31"/>
      <c r="CA163" s="31"/>
      <c r="CB163" s="31"/>
      <c r="CC163" s="31"/>
      <c r="CD163" s="31"/>
      <c r="CE163" s="31"/>
      <c r="CF163" s="31"/>
      <c r="CG163" s="32"/>
    </row>
    <row r="164" spans="2:85" x14ac:dyDescent="0.3"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  <c r="BS164" s="31"/>
      <c r="BT164" s="31"/>
      <c r="BU164" s="31"/>
      <c r="BV164" s="31"/>
      <c r="BW164" s="31"/>
      <c r="BX164" s="31"/>
      <c r="BY164" s="31"/>
      <c r="BZ164" s="31"/>
      <c r="CA164" s="31"/>
      <c r="CB164" s="31"/>
      <c r="CC164" s="31"/>
      <c r="CD164" s="31"/>
      <c r="CE164" s="31"/>
      <c r="CF164" s="31"/>
      <c r="CG164" s="32"/>
    </row>
    <row r="165" spans="2:85" x14ac:dyDescent="0.3"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  <c r="BZ165" s="31"/>
      <c r="CA165" s="31"/>
      <c r="CB165" s="31"/>
      <c r="CC165" s="31"/>
      <c r="CD165" s="31"/>
      <c r="CE165" s="31"/>
      <c r="CF165" s="31"/>
      <c r="CG165" s="32"/>
    </row>
    <row r="166" spans="2:85" x14ac:dyDescent="0.3"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  <c r="BS166" s="31"/>
      <c r="BT166" s="31"/>
      <c r="BU166" s="31"/>
      <c r="BV166" s="31"/>
      <c r="BW166" s="31"/>
      <c r="BX166" s="31"/>
      <c r="BY166" s="31"/>
      <c r="BZ166" s="31"/>
      <c r="CA166" s="31"/>
      <c r="CB166" s="31"/>
      <c r="CC166" s="31"/>
      <c r="CD166" s="31"/>
      <c r="CE166" s="31"/>
      <c r="CF166" s="31"/>
      <c r="CG166" s="32"/>
    </row>
    <row r="167" spans="2:85" x14ac:dyDescent="0.3"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  <c r="BS167" s="31"/>
      <c r="BT167" s="31"/>
      <c r="BU167" s="31"/>
      <c r="BV167" s="31"/>
      <c r="BW167" s="31"/>
      <c r="BX167" s="31"/>
      <c r="BY167" s="31"/>
      <c r="BZ167" s="31"/>
      <c r="CA167" s="31"/>
      <c r="CB167" s="31"/>
      <c r="CC167" s="31"/>
      <c r="CD167" s="31"/>
      <c r="CE167" s="31"/>
      <c r="CF167" s="31"/>
      <c r="CG167" s="32"/>
    </row>
    <row r="168" spans="2:85" x14ac:dyDescent="0.3"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  <c r="BS168" s="31"/>
      <c r="BT168" s="31"/>
      <c r="BU168" s="31"/>
      <c r="BV168" s="31"/>
      <c r="BW168" s="31"/>
      <c r="BX168" s="31"/>
      <c r="BY168" s="31"/>
      <c r="BZ168" s="31"/>
      <c r="CA168" s="31"/>
      <c r="CB168" s="31"/>
      <c r="CC168" s="31"/>
      <c r="CD168" s="31"/>
      <c r="CE168" s="31"/>
      <c r="CF168" s="31"/>
      <c r="CG168" s="32"/>
    </row>
    <row r="169" spans="2:85" x14ac:dyDescent="0.3"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  <c r="BS169" s="31"/>
      <c r="BT169" s="31"/>
      <c r="BU169" s="31"/>
      <c r="BV169" s="31"/>
      <c r="BW169" s="31"/>
      <c r="BX169" s="31"/>
      <c r="BY169" s="31"/>
      <c r="BZ169" s="31"/>
      <c r="CA169" s="31"/>
      <c r="CB169" s="31"/>
      <c r="CC169" s="31"/>
      <c r="CD169" s="31"/>
      <c r="CE169" s="31"/>
      <c r="CF169" s="31"/>
      <c r="CG169" s="32"/>
    </row>
    <row r="170" spans="2:85" x14ac:dyDescent="0.3"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  <c r="BS170" s="31"/>
      <c r="BT170" s="31"/>
      <c r="BU170" s="31"/>
      <c r="BV170" s="31"/>
      <c r="BW170" s="31"/>
      <c r="BX170" s="31"/>
      <c r="BY170" s="31"/>
      <c r="BZ170" s="31"/>
      <c r="CA170" s="31"/>
      <c r="CB170" s="31"/>
      <c r="CC170" s="31"/>
      <c r="CD170" s="31"/>
      <c r="CE170" s="31"/>
      <c r="CF170" s="31"/>
      <c r="CG170" s="32"/>
    </row>
    <row r="171" spans="2:85" x14ac:dyDescent="0.3"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  <c r="BS171" s="31"/>
      <c r="BT171" s="31"/>
      <c r="BU171" s="31"/>
      <c r="BV171" s="31"/>
      <c r="BW171" s="31"/>
      <c r="BX171" s="31"/>
      <c r="BY171" s="31"/>
      <c r="BZ171" s="31"/>
      <c r="CA171" s="31"/>
      <c r="CB171" s="31"/>
      <c r="CC171" s="31"/>
      <c r="CD171" s="31"/>
      <c r="CE171" s="31"/>
      <c r="CF171" s="31"/>
      <c r="CG171" s="32"/>
    </row>
    <row r="172" spans="2:85" x14ac:dyDescent="0.3"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  <c r="BS172" s="31"/>
      <c r="BT172" s="31"/>
      <c r="BU172" s="31"/>
      <c r="BV172" s="31"/>
      <c r="BW172" s="31"/>
      <c r="BX172" s="31"/>
      <c r="BY172" s="31"/>
      <c r="BZ172" s="31"/>
      <c r="CA172" s="31"/>
      <c r="CB172" s="31"/>
      <c r="CC172" s="31"/>
      <c r="CD172" s="31"/>
      <c r="CE172" s="31"/>
      <c r="CF172" s="31"/>
      <c r="CG172" s="32"/>
    </row>
    <row r="173" spans="2:85" x14ac:dyDescent="0.3"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  <c r="BS173" s="31"/>
      <c r="BT173" s="31"/>
      <c r="BU173" s="31"/>
      <c r="BV173" s="31"/>
      <c r="BW173" s="31"/>
      <c r="BX173" s="31"/>
      <c r="BY173" s="31"/>
      <c r="BZ173" s="31"/>
      <c r="CA173" s="31"/>
      <c r="CB173" s="31"/>
      <c r="CC173" s="31"/>
      <c r="CD173" s="31"/>
      <c r="CE173" s="31"/>
      <c r="CF173" s="31"/>
      <c r="CG173" s="32"/>
    </row>
    <row r="174" spans="2:85" x14ac:dyDescent="0.3"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  <c r="BS174" s="31"/>
      <c r="BT174" s="31"/>
      <c r="BU174" s="31"/>
      <c r="BV174" s="31"/>
      <c r="BW174" s="31"/>
      <c r="BX174" s="31"/>
      <c r="BY174" s="31"/>
      <c r="BZ174" s="31"/>
      <c r="CA174" s="31"/>
      <c r="CB174" s="31"/>
      <c r="CC174" s="31"/>
      <c r="CD174" s="31"/>
      <c r="CE174" s="31"/>
      <c r="CF174" s="31"/>
      <c r="CG174" s="32"/>
    </row>
    <row r="175" spans="2:85" x14ac:dyDescent="0.3"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  <c r="BS175" s="31"/>
      <c r="BT175" s="31"/>
      <c r="BU175" s="31"/>
      <c r="BV175" s="31"/>
      <c r="BW175" s="31"/>
      <c r="BX175" s="31"/>
      <c r="BY175" s="31"/>
      <c r="BZ175" s="31"/>
      <c r="CA175" s="31"/>
      <c r="CB175" s="31"/>
      <c r="CC175" s="31"/>
      <c r="CD175" s="31"/>
      <c r="CE175" s="31"/>
      <c r="CF175" s="31"/>
      <c r="CG175" s="32"/>
    </row>
    <row r="176" spans="2:85" x14ac:dyDescent="0.3"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  <c r="BS176" s="31"/>
      <c r="BT176" s="31"/>
      <c r="BU176" s="31"/>
      <c r="BV176" s="31"/>
      <c r="BW176" s="31"/>
      <c r="BX176" s="31"/>
      <c r="BY176" s="31"/>
      <c r="BZ176" s="31"/>
      <c r="CA176" s="31"/>
      <c r="CB176" s="31"/>
      <c r="CC176" s="31"/>
      <c r="CD176" s="31"/>
      <c r="CE176" s="31"/>
      <c r="CF176" s="31"/>
      <c r="CG176" s="32"/>
    </row>
    <row r="177" spans="2:85" x14ac:dyDescent="0.3"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  <c r="BS177" s="31"/>
      <c r="BT177" s="31"/>
      <c r="BU177" s="31"/>
      <c r="BV177" s="31"/>
      <c r="BW177" s="31"/>
      <c r="BX177" s="31"/>
      <c r="BY177" s="31"/>
      <c r="BZ177" s="31"/>
      <c r="CA177" s="31"/>
      <c r="CB177" s="31"/>
      <c r="CC177" s="31"/>
      <c r="CD177" s="31"/>
      <c r="CE177" s="31"/>
      <c r="CF177" s="31"/>
      <c r="CG177" s="32"/>
    </row>
    <row r="178" spans="2:85" x14ac:dyDescent="0.3"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  <c r="BS178" s="31"/>
      <c r="BT178" s="31"/>
      <c r="BU178" s="31"/>
      <c r="BV178" s="31"/>
      <c r="BW178" s="31"/>
      <c r="BX178" s="31"/>
      <c r="BY178" s="31"/>
      <c r="BZ178" s="31"/>
      <c r="CA178" s="31"/>
      <c r="CB178" s="31"/>
      <c r="CC178" s="31"/>
      <c r="CD178" s="31"/>
      <c r="CE178" s="31"/>
      <c r="CF178" s="31"/>
      <c r="CG178" s="32"/>
    </row>
    <row r="179" spans="2:85" x14ac:dyDescent="0.3"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  <c r="BS179" s="31"/>
      <c r="BT179" s="31"/>
      <c r="BU179" s="31"/>
      <c r="BV179" s="31"/>
      <c r="BW179" s="31"/>
      <c r="BX179" s="31"/>
      <c r="BY179" s="31"/>
      <c r="BZ179" s="31"/>
      <c r="CA179" s="31"/>
      <c r="CB179" s="31"/>
      <c r="CC179" s="31"/>
      <c r="CD179" s="31"/>
      <c r="CE179" s="31"/>
      <c r="CF179" s="31"/>
      <c r="CG179" s="32"/>
    </row>
    <row r="180" spans="2:85" x14ac:dyDescent="0.3"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  <c r="BS180" s="31"/>
      <c r="BT180" s="31"/>
      <c r="BU180" s="31"/>
      <c r="BV180" s="31"/>
      <c r="BW180" s="31"/>
      <c r="BX180" s="31"/>
      <c r="BY180" s="31"/>
      <c r="BZ180" s="31"/>
      <c r="CA180" s="31"/>
      <c r="CB180" s="31"/>
      <c r="CC180" s="31"/>
      <c r="CD180" s="31"/>
      <c r="CE180" s="31"/>
      <c r="CF180" s="31"/>
      <c r="CG180" s="32"/>
    </row>
    <row r="181" spans="2:85" x14ac:dyDescent="0.3"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  <c r="BS181" s="31"/>
      <c r="BT181" s="31"/>
      <c r="BU181" s="31"/>
      <c r="BV181" s="31"/>
      <c r="BW181" s="31"/>
      <c r="BX181" s="31"/>
      <c r="BY181" s="31"/>
      <c r="BZ181" s="31"/>
      <c r="CA181" s="31"/>
      <c r="CB181" s="31"/>
      <c r="CC181" s="31"/>
      <c r="CD181" s="31"/>
      <c r="CE181" s="31"/>
      <c r="CF181" s="31"/>
      <c r="CG181" s="32"/>
    </row>
    <row r="182" spans="2:85" x14ac:dyDescent="0.3"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  <c r="BS182" s="31"/>
      <c r="BT182" s="31"/>
      <c r="BU182" s="31"/>
      <c r="BV182" s="31"/>
      <c r="BW182" s="31"/>
      <c r="BX182" s="31"/>
      <c r="BY182" s="31"/>
      <c r="BZ182" s="31"/>
      <c r="CA182" s="31"/>
      <c r="CB182" s="31"/>
      <c r="CC182" s="31"/>
      <c r="CD182" s="31"/>
      <c r="CE182" s="31"/>
      <c r="CF182" s="31"/>
      <c r="CG182" s="32"/>
    </row>
    <row r="183" spans="2:85" x14ac:dyDescent="0.3"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  <c r="BS183" s="31"/>
      <c r="BT183" s="31"/>
      <c r="BU183" s="31"/>
      <c r="BV183" s="31"/>
      <c r="BW183" s="31"/>
      <c r="BX183" s="31"/>
      <c r="BY183" s="31"/>
      <c r="BZ183" s="31"/>
      <c r="CA183" s="31"/>
      <c r="CB183" s="31"/>
      <c r="CC183" s="31"/>
      <c r="CD183" s="31"/>
      <c r="CE183" s="31"/>
      <c r="CF183" s="31"/>
      <c r="CG183" s="32"/>
    </row>
    <row r="184" spans="2:85" x14ac:dyDescent="0.3"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  <c r="BS184" s="31"/>
      <c r="BT184" s="31"/>
      <c r="BU184" s="31"/>
      <c r="BV184" s="31"/>
      <c r="BW184" s="31"/>
      <c r="BX184" s="31"/>
      <c r="BY184" s="31"/>
      <c r="BZ184" s="31"/>
      <c r="CA184" s="31"/>
      <c r="CB184" s="31"/>
      <c r="CC184" s="31"/>
      <c r="CD184" s="31"/>
      <c r="CE184" s="31"/>
      <c r="CF184" s="31"/>
      <c r="CG184" s="32"/>
    </row>
    <row r="185" spans="2:85" x14ac:dyDescent="0.3"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  <c r="BS185" s="31"/>
      <c r="BT185" s="31"/>
      <c r="BU185" s="31"/>
      <c r="BV185" s="31"/>
      <c r="BW185" s="31"/>
      <c r="BX185" s="31"/>
      <c r="BY185" s="31"/>
      <c r="BZ185" s="31"/>
      <c r="CA185" s="31"/>
      <c r="CB185" s="31"/>
      <c r="CC185" s="31"/>
      <c r="CD185" s="31"/>
      <c r="CE185" s="31"/>
      <c r="CF185" s="31"/>
      <c r="CG185" s="32"/>
    </row>
    <row r="186" spans="2:85" x14ac:dyDescent="0.3"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  <c r="BS186" s="31"/>
      <c r="BT186" s="31"/>
      <c r="BU186" s="31"/>
      <c r="BV186" s="31"/>
      <c r="BW186" s="31"/>
      <c r="BX186" s="31"/>
      <c r="BY186" s="31"/>
      <c r="BZ186" s="31"/>
      <c r="CA186" s="31"/>
      <c r="CB186" s="31"/>
      <c r="CC186" s="31"/>
      <c r="CD186" s="31"/>
      <c r="CE186" s="31"/>
      <c r="CF186" s="31"/>
      <c r="CG186" s="32"/>
    </row>
    <row r="187" spans="2:85" x14ac:dyDescent="0.3"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  <c r="BS187" s="31"/>
      <c r="BT187" s="31"/>
      <c r="BU187" s="31"/>
      <c r="BV187" s="31"/>
      <c r="BW187" s="31"/>
      <c r="BX187" s="31"/>
      <c r="BY187" s="31"/>
      <c r="BZ187" s="31"/>
      <c r="CA187" s="31"/>
      <c r="CB187" s="31"/>
      <c r="CC187" s="31"/>
      <c r="CD187" s="31"/>
      <c r="CE187" s="31"/>
      <c r="CF187" s="31"/>
      <c r="CG187" s="32"/>
    </row>
    <row r="188" spans="2:85" x14ac:dyDescent="0.3"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  <c r="BS188" s="31"/>
      <c r="BT188" s="31"/>
      <c r="BU188" s="31"/>
      <c r="BV188" s="31"/>
      <c r="BW188" s="31"/>
      <c r="BX188" s="31"/>
      <c r="BY188" s="31"/>
      <c r="BZ188" s="31"/>
      <c r="CA188" s="31"/>
      <c r="CB188" s="31"/>
      <c r="CC188" s="31"/>
      <c r="CD188" s="31"/>
      <c r="CE188" s="31"/>
      <c r="CF188" s="31"/>
      <c r="CG188" s="32"/>
    </row>
    <row r="189" spans="2:85" x14ac:dyDescent="0.3"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  <c r="BS189" s="31"/>
      <c r="BT189" s="31"/>
      <c r="BU189" s="31"/>
      <c r="BV189" s="31"/>
      <c r="BW189" s="31"/>
      <c r="BX189" s="31"/>
      <c r="BY189" s="31"/>
      <c r="BZ189" s="31"/>
      <c r="CA189" s="31"/>
      <c r="CB189" s="31"/>
      <c r="CC189" s="31"/>
      <c r="CD189" s="31"/>
      <c r="CE189" s="31"/>
      <c r="CF189" s="31"/>
      <c r="CG189" s="32"/>
    </row>
    <row r="190" spans="2:85" x14ac:dyDescent="0.3"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  <c r="BS190" s="31"/>
      <c r="BT190" s="31"/>
      <c r="BU190" s="31"/>
      <c r="BV190" s="31"/>
      <c r="BW190" s="31"/>
      <c r="BX190" s="31"/>
      <c r="BY190" s="31"/>
      <c r="BZ190" s="31"/>
      <c r="CA190" s="31"/>
      <c r="CB190" s="31"/>
      <c r="CC190" s="31"/>
      <c r="CD190" s="31"/>
      <c r="CE190" s="31"/>
      <c r="CF190" s="31"/>
      <c r="CG190" s="32"/>
    </row>
    <row r="191" spans="2:85" x14ac:dyDescent="0.3">
      <c r="BP191" s="3"/>
    </row>
    <row r="192" spans="2:85" x14ac:dyDescent="0.3">
      <c r="BP192" s="3"/>
    </row>
    <row r="193" spans="68:68" x14ac:dyDescent="0.3">
      <c r="BP193" s="3"/>
    </row>
    <row r="194" spans="68:68" x14ac:dyDescent="0.3">
      <c r="BP194" s="3"/>
    </row>
    <row r="195" spans="68:68" x14ac:dyDescent="0.3">
      <c r="BP195" s="3"/>
    </row>
    <row r="196" spans="68:68" x14ac:dyDescent="0.3">
      <c r="BP196" s="3"/>
    </row>
    <row r="197" spans="68:68" x14ac:dyDescent="0.3">
      <c r="BP197" s="3"/>
    </row>
    <row r="198" spans="68:68" x14ac:dyDescent="0.3">
      <c r="BP198" s="3"/>
    </row>
    <row r="199" spans="68:68" x14ac:dyDescent="0.3">
      <c r="BP199" s="3"/>
    </row>
    <row r="200" spans="68:68" x14ac:dyDescent="0.3">
      <c r="BP200" s="3"/>
    </row>
    <row r="201" spans="68:68" x14ac:dyDescent="0.3">
      <c r="BP201" s="3"/>
    </row>
    <row r="202" spans="68:68" x14ac:dyDescent="0.3">
      <c r="BP202" s="3"/>
    </row>
    <row r="203" spans="68:68" x14ac:dyDescent="0.3">
      <c r="BP203" s="3"/>
    </row>
    <row r="204" spans="68:68" x14ac:dyDescent="0.3">
      <c r="BP204" s="3"/>
    </row>
    <row r="205" spans="68:68" x14ac:dyDescent="0.3">
      <c r="BP205" s="3"/>
    </row>
    <row r="206" spans="68:68" x14ac:dyDescent="0.3">
      <c r="BP206" s="3"/>
    </row>
  </sheetData>
  <hyperlinks>
    <hyperlink ref="AV5" r:id="rId1" display="UCID681-MX-21-21-Soil-@carcass site" xr:uid="{00000000-0004-0000-0000-000000000000}"/>
    <hyperlink ref="BD5" r:id="rId2" xr:uid="{00000000-0004-0000-0000-000001000000}"/>
    <hyperlink ref="BN5" r:id="rId3" xr:uid="{00000000-0004-0000-0000-000002000000}"/>
    <hyperlink ref="BV5" r:id="rId4" display="UCID681-MX-22-44-Soil@ carcass site" xr:uid="{00000000-0004-0000-0000-000003000000}"/>
    <hyperlink ref="AV36" r:id="rId5" display="UCID681-MX-21-21-Soil-@carcass site" xr:uid="{00000000-0004-0000-0000-000004000000}"/>
    <hyperlink ref="BD36" r:id="rId6" xr:uid="{00000000-0004-0000-0000-000005000000}"/>
    <hyperlink ref="BN36" r:id="rId7" xr:uid="{00000000-0004-0000-0000-000006000000}"/>
    <hyperlink ref="BV36" r:id="rId8" display="UCID681-MX-22-44-Soil@ carcass site" xr:uid="{00000000-0004-0000-0000-000007000000}"/>
    <hyperlink ref="AV73" r:id="rId9" display="UCID681-MX-21-21-Soil-@carcass site" xr:uid="{00000000-0004-0000-0000-000008000000}"/>
    <hyperlink ref="BD73" r:id="rId10" xr:uid="{00000000-0004-0000-0000-000009000000}"/>
    <hyperlink ref="BN73" r:id="rId11" xr:uid="{00000000-0004-0000-0000-00000A000000}"/>
    <hyperlink ref="BV73" r:id="rId12" display="UCID681-MX-22-44-Soil@ carcass site" xr:uid="{00000000-0004-0000-0000-00000B000000}"/>
  </hyperlinks>
  <pageMargins left="0.7" right="0.7" top="0.75" bottom="0.75" header="0.3" footer="0.3"/>
  <pageSetup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Calgary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Baillie</dc:creator>
  <cp:lastModifiedBy>Caide Wooten</cp:lastModifiedBy>
  <dcterms:created xsi:type="dcterms:W3CDTF">2025-08-14T15:40:47Z</dcterms:created>
  <dcterms:modified xsi:type="dcterms:W3CDTF">2025-11-11T19:03:58Z</dcterms:modified>
</cp:coreProperties>
</file>