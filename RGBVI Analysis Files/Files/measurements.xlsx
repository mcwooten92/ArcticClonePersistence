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DELTROZZO\caide\drone_photos\"/>
    </mc:Choice>
  </mc:AlternateContent>
  <xr:revisionPtr revIDLastSave="0" documentId="13_ncr:1_{E29313CF-4185-480E-96C5-81FB19A073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J39" i="1"/>
  <c r="E39" i="1"/>
  <c r="F39" i="1" s="1"/>
  <c r="D39" i="1"/>
  <c r="K29" i="1"/>
  <c r="J14" i="1"/>
  <c r="J15" i="1"/>
  <c r="K3" i="1"/>
  <c r="J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K14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2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2" i="1"/>
  <c r="D3" i="1"/>
  <c r="F3" i="1" s="1"/>
  <c r="D4" i="1"/>
  <c r="D5" i="1"/>
  <c r="F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F23" i="1" s="1"/>
  <c r="D24" i="1"/>
  <c r="D25" i="1"/>
  <c r="F25" i="1" s="1"/>
  <c r="D26" i="1"/>
  <c r="F26" i="1" s="1"/>
  <c r="D27" i="1"/>
  <c r="D28" i="1"/>
  <c r="D29" i="1"/>
  <c r="D30" i="1"/>
  <c r="D31" i="1"/>
  <c r="D32" i="1"/>
  <c r="D33" i="1"/>
  <c r="D34" i="1"/>
  <c r="D35" i="1"/>
  <c r="D36" i="1"/>
  <c r="D37" i="1"/>
  <c r="D38" i="1"/>
  <c r="D40" i="1"/>
  <c r="D41" i="1"/>
  <c r="D42" i="1"/>
  <c r="D43" i="1"/>
  <c r="D44" i="1"/>
  <c r="F44" i="1" s="1"/>
  <c r="D45" i="1"/>
  <c r="D46" i="1"/>
  <c r="F46" i="1" s="1"/>
  <c r="D47" i="1"/>
  <c r="D48" i="1"/>
  <c r="D49" i="1"/>
  <c r="D50" i="1"/>
  <c r="D51" i="1"/>
  <c r="D52" i="1"/>
  <c r="D53" i="1"/>
  <c r="D54" i="1"/>
  <c r="D2" i="1"/>
  <c r="F20" i="1" l="1"/>
  <c r="F38" i="1"/>
  <c r="F18" i="1"/>
  <c r="F41" i="1"/>
  <c r="F37" i="1"/>
  <c r="F17" i="1"/>
  <c r="F43" i="1"/>
  <c r="F36" i="1"/>
  <c r="F21" i="1"/>
  <c r="F35" i="1"/>
  <c r="F15" i="1"/>
  <c r="F34" i="1"/>
  <c r="F14" i="1"/>
  <c r="F40" i="1"/>
  <c r="F13" i="1"/>
  <c r="F19" i="1"/>
  <c r="F33" i="1"/>
  <c r="F22" i="1"/>
  <c r="F2" i="1"/>
  <c r="F54" i="1"/>
  <c r="F11" i="1"/>
  <c r="F32" i="1"/>
  <c r="F52" i="1"/>
  <c r="F31" i="1"/>
  <c r="F51" i="1"/>
  <c r="F30" i="1"/>
  <c r="F10" i="1"/>
  <c r="F50" i="1"/>
  <c r="F49" i="1"/>
  <c r="F8" i="1"/>
  <c r="F42" i="1"/>
  <c r="F28" i="1"/>
  <c r="F48" i="1"/>
  <c r="F27" i="1"/>
  <c r="F7" i="1"/>
  <c r="F29" i="1"/>
  <c r="F12" i="1"/>
  <c r="F53" i="1"/>
  <c r="F47" i="1"/>
  <c r="F45" i="1"/>
  <c r="F24" i="1"/>
  <c r="F4" i="1"/>
  <c r="F16" i="1"/>
  <c r="F6" i="1"/>
  <c r="F9" i="1"/>
</calcChain>
</file>

<file path=xl/sharedStrings.xml><?xml version="1.0" encoding="utf-8"?>
<sst xmlns="http://schemas.openxmlformats.org/spreadsheetml/2006/main" count="83" uniqueCount="73">
  <si>
    <t>image</t>
  </si>
  <si>
    <t>length</t>
  </si>
  <si>
    <t>width</t>
  </si>
  <si>
    <t>cntrl2101</t>
  </si>
  <si>
    <t>muskx2101</t>
  </si>
  <si>
    <t>cntrl2102</t>
  </si>
  <si>
    <t>cntrl2103</t>
  </si>
  <si>
    <t>cntrl2104</t>
  </si>
  <si>
    <t>cntrl2105</t>
  </si>
  <si>
    <t>cntrl2106</t>
  </si>
  <si>
    <t>cntrl2107</t>
  </si>
  <si>
    <t>cntrl2108</t>
  </si>
  <si>
    <t>cntrl2109</t>
  </si>
  <si>
    <t>cntrl2110</t>
  </si>
  <si>
    <t>cntrl2113</t>
  </si>
  <si>
    <t>cntrl2115</t>
  </si>
  <si>
    <t>cntrl2116</t>
  </si>
  <si>
    <t>cntrl2119</t>
  </si>
  <si>
    <t>cntrl2121</t>
  </si>
  <si>
    <t>cntrl2124</t>
  </si>
  <si>
    <t>cntrl2125</t>
  </si>
  <si>
    <t>cntrl2126A</t>
  </si>
  <si>
    <t>cntrl2126B</t>
  </si>
  <si>
    <t>cntrl2235</t>
  </si>
  <si>
    <t>cntrl2240</t>
  </si>
  <si>
    <t>cntrl2361</t>
  </si>
  <si>
    <t>cntrl2362</t>
  </si>
  <si>
    <t>cntrl2366</t>
  </si>
  <si>
    <t>cntrl2368</t>
  </si>
  <si>
    <t>cntrl2376</t>
  </si>
  <si>
    <t>muskx2103</t>
  </si>
  <si>
    <t>muskx2104</t>
  </si>
  <si>
    <t>muskx2105</t>
  </si>
  <si>
    <t>muskx2106</t>
  </si>
  <si>
    <t>muskx2107</t>
  </si>
  <si>
    <t>muskx2108</t>
  </si>
  <si>
    <t>muskx2109</t>
  </si>
  <si>
    <t>muskx2110</t>
  </si>
  <si>
    <t>muskx2113</t>
  </si>
  <si>
    <t>muskx2115</t>
  </si>
  <si>
    <t>muskx2116</t>
  </si>
  <si>
    <t>muskx2119</t>
  </si>
  <si>
    <t>muskx2121</t>
  </si>
  <si>
    <t>muskx2124</t>
  </si>
  <si>
    <t>muskx2125</t>
  </si>
  <si>
    <t>muskx2126A</t>
  </si>
  <si>
    <t>muskx2126B</t>
  </si>
  <si>
    <t>muskx2235</t>
  </si>
  <si>
    <t>muskx2240</t>
  </si>
  <si>
    <t>muskx2361</t>
  </si>
  <si>
    <t>muskx2362</t>
  </si>
  <si>
    <t>muskx2366</t>
  </si>
  <si>
    <t>muskx2368</t>
  </si>
  <si>
    <t>muskx2376</t>
  </si>
  <si>
    <t>muskx2102</t>
  </si>
  <si>
    <t>scale_x</t>
  </si>
  <si>
    <t>scale_y</t>
  </si>
  <si>
    <t>mtopix</t>
  </si>
  <si>
    <t>centroid_x</t>
  </si>
  <si>
    <t>centroid_y</t>
  </si>
  <si>
    <t>centroid_x_raw</t>
  </si>
  <si>
    <t>centroid_y_raw</t>
  </si>
  <si>
    <t>radius</t>
  </si>
  <si>
    <t>muskx2114</t>
  </si>
  <si>
    <t>R</t>
  </si>
  <si>
    <t>G</t>
  </si>
  <si>
    <t>B</t>
  </si>
  <si>
    <t>coarser resolution</t>
  </si>
  <si>
    <t>comments</t>
  </si>
  <si>
    <t>riparian</t>
  </si>
  <si>
    <t>partially shaded</t>
  </si>
  <si>
    <t>blurry</t>
  </si>
  <si>
    <t>paper in 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</si>
</sst>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164" fontId="1" fillId="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164" fontId="1" fillId="5" borderId="0" xfId="0" applyNumberFormat="1" applyFont="1" applyFill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164" fontId="1" fillId="2" borderId="2" xfId="0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zoomScale="85" zoomScaleNormal="85" workbookViewId="0">
      <pane xSplit="1" topLeftCell="B1" activePane="topRight" state="frozen"/>
      <selection pane="topRight" activeCell="E13" sqref="E13"/>
    </sheetView>
  </sheetViews>
  <sheetFormatPr defaultColWidth="22.140625" defaultRowHeight="15" x14ac:dyDescent="0.25"/>
  <cols>
    <col min="1" max="1" width="14.28515625" style="1" bestFit="1" customWidth="1"/>
    <col min="2" max="2" width="9" style="1" bestFit="1" customWidth="1"/>
    <col min="3" max="3" width="7.7109375" style="1" bestFit="1" customWidth="1"/>
    <col min="4" max="5" width="10.28515625" style="1" bestFit="1" customWidth="1"/>
    <col min="6" max="6" width="9" style="1" bestFit="1" customWidth="1"/>
    <col min="7" max="14" width="22.140625" style="1"/>
    <col min="15" max="15" width="43" style="1" customWidth="1"/>
    <col min="16" max="16384" width="22.140625" style="1"/>
  </cols>
  <sheetData>
    <row r="1" spans="1:15" ht="16.5" thickBot="1" x14ac:dyDescent="0.3">
      <c r="A1" s="19" t="s">
        <v>0</v>
      </c>
      <c r="B1" s="19" t="s">
        <v>1</v>
      </c>
      <c r="C1" s="19" t="s">
        <v>2</v>
      </c>
      <c r="D1" s="19" t="s">
        <v>55</v>
      </c>
      <c r="E1" s="19" t="s">
        <v>56</v>
      </c>
      <c r="F1" s="19" t="s">
        <v>57</v>
      </c>
      <c r="G1" s="19" t="s">
        <v>60</v>
      </c>
      <c r="H1" s="19" t="s">
        <v>61</v>
      </c>
      <c r="I1" s="19" t="s">
        <v>62</v>
      </c>
      <c r="J1" s="19" t="s">
        <v>58</v>
      </c>
      <c r="K1" s="19" t="s">
        <v>59</v>
      </c>
      <c r="L1" s="19" t="s">
        <v>64</v>
      </c>
      <c r="M1" s="19" t="s">
        <v>65</v>
      </c>
      <c r="N1" s="19" t="s">
        <v>66</v>
      </c>
      <c r="O1" s="19" t="s">
        <v>68</v>
      </c>
    </row>
    <row r="2" spans="1:15" x14ac:dyDescent="0.25">
      <c r="A2" s="1" t="s">
        <v>3</v>
      </c>
      <c r="B2" s="1">
        <v>85</v>
      </c>
      <c r="C2" s="1">
        <v>65</v>
      </c>
      <c r="D2" s="2">
        <f>0.279/B2</f>
        <v>3.2823529411764711E-3</v>
      </c>
      <c r="E2" s="2">
        <f>0.216/C2</f>
        <v>3.323076923076923E-3</v>
      </c>
      <c r="F2" s="2">
        <f>AVERAGE(D2:E2)</f>
        <v>3.302714932126697E-3</v>
      </c>
      <c r="G2" s="1">
        <v>1964</v>
      </c>
      <c r="H2" s="1">
        <v>1502</v>
      </c>
      <c r="I2" s="1">
        <v>30</v>
      </c>
      <c r="J2" s="1">
        <f t="shared" ref="J2:J33" si="0">G2</f>
        <v>1964</v>
      </c>
      <c r="K2" s="1">
        <f>3024-H2</f>
        <v>1522</v>
      </c>
      <c r="L2" s="1">
        <v>255</v>
      </c>
      <c r="M2" s="1">
        <v>255</v>
      </c>
      <c r="N2" s="1">
        <v>255</v>
      </c>
    </row>
    <row r="3" spans="1:15" x14ac:dyDescent="0.25">
      <c r="A3" s="1" t="s">
        <v>5</v>
      </c>
      <c r="B3" s="1">
        <v>40</v>
      </c>
      <c r="C3" s="1">
        <v>30</v>
      </c>
      <c r="D3" s="2">
        <f t="shared" ref="D3:D54" si="1">0.279/B3</f>
        <v>6.9750000000000003E-3</v>
      </c>
      <c r="E3" s="2">
        <f t="shared" ref="E3:E54" si="2">0.216/C3</f>
        <v>7.1999999999999998E-3</v>
      </c>
      <c r="F3" s="2">
        <f t="shared" ref="F3:F54" si="3">AVERAGE(D3:E3)</f>
        <v>7.0875E-3</v>
      </c>
      <c r="G3" s="1">
        <v>815</v>
      </c>
      <c r="H3" s="1">
        <v>611</v>
      </c>
      <c r="I3" s="1">
        <v>12.5</v>
      </c>
      <c r="J3" s="1">
        <f t="shared" si="0"/>
        <v>815</v>
      </c>
      <c r="K3" s="1">
        <f>1200-H3</f>
        <v>589</v>
      </c>
      <c r="L3" s="1">
        <v>255</v>
      </c>
      <c r="M3" s="1">
        <v>255</v>
      </c>
      <c r="N3" s="1">
        <v>255</v>
      </c>
      <c r="O3" s="1" t="s">
        <v>67</v>
      </c>
    </row>
    <row r="4" spans="1:15" x14ac:dyDescent="0.25">
      <c r="A4" s="5" t="s">
        <v>6</v>
      </c>
      <c r="B4" s="5">
        <v>85</v>
      </c>
      <c r="C4" s="5">
        <v>69</v>
      </c>
      <c r="D4" s="6">
        <f t="shared" si="1"/>
        <v>3.2823529411764711E-3</v>
      </c>
      <c r="E4" s="6">
        <f t="shared" si="2"/>
        <v>3.1304347826086958E-3</v>
      </c>
      <c r="F4" s="6">
        <f t="shared" si="3"/>
        <v>3.2063938618925834E-3</v>
      </c>
      <c r="G4" s="5">
        <v>2029</v>
      </c>
      <c r="H4" s="5">
        <v>1473</v>
      </c>
      <c r="I4" s="5">
        <v>30</v>
      </c>
      <c r="J4" s="5">
        <f t="shared" si="0"/>
        <v>2029</v>
      </c>
      <c r="K4" s="5">
        <f t="shared" ref="K4:K28" si="4">3024-H4</f>
        <v>1551</v>
      </c>
      <c r="L4" s="5">
        <v>255</v>
      </c>
      <c r="M4" s="5">
        <v>255</v>
      </c>
      <c r="N4" s="5">
        <v>255</v>
      </c>
      <c r="O4" s="5" t="s">
        <v>69</v>
      </c>
    </row>
    <row r="5" spans="1:15" x14ac:dyDescent="0.25">
      <c r="A5" s="1" t="s">
        <v>7</v>
      </c>
      <c r="B5" s="1">
        <v>108</v>
      </c>
      <c r="C5" s="1">
        <v>85</v>
      </c>
      <c r="D5" s="2">
        <f t="shared" si="1"/>
        <v>2.5833333333333337E-3</v>
      </c>
      <c r="E5" s="2">
        <f t="shared" si="2"/>
        <v>2.5411764705882351E-3</v>
      </c>
      <c r="F5" s="2">
        <f t="shared" si="3"/>
        <v>2.5622549019607846E-3</v>
      </c>
      <c r="G5" s="1">
        <v>2176</v>
      </c>
      <c r="H5" s="1">
        <v>1467</v>
      </c>
      <c r="I5" s="1">
        <v>35</v>
      </c>
      <c r="J5" s="1">
        <f t="shared" si="0"/>
        <v>2176</v>
      </c>
      <c r="K5" s="1">
        <f t="shared" si="4"/>
        <v>1557</v>
      </c>
      <c r="L5" s="1">
        <v>254</v>
      </c>
      <c r="M5" s="1">
        <v>255</v>
      </c>
      <c r="N5" s="1">
        <v>255</v>
      </c>
    </row>
    <row r="6" spans="1:15" x14ac:dyDescent="0.25">
      <c r="A6" s="1" t="s">
        <v>8</v>
      </c>
      <c r="B6" s="1">
        <v>97</v>
      </c>
      <c r="C6" s="1">
        <v>73</v>
      </c>
      <c r="D6" s="2">
        <f t="shared" si="1"/>
        <v>2.8762886597938145E-3</v>
      </c>
      <c r="E6" s="2">
        <f t="shared" si="2"/>
        <v>2.958904109589041E-3</v>
      </c>
      <c r="F6" s="2">
        <f t="shared" si="3"/>
        <v>2.9175963846914277E-3</v>
      </c>
      <c r="G6" s="1">
        <v>2117</v>
      </c>
      <c r="H6" s="1">
        <v>1542</v>
      </c>
      <c r="I6" s="1">
        <v>30</v>
      </c>
      <c r="J6" s="1">
        <f t="shared" si="0"/>
        <v>2117</v>
      </c>
      <c r="K6" s="1">
        <f t="shared" si="4"/>
        <v>1482</v>
      </c>
      <c r="L6" s="1">
        <v>219</v>
      </c>
      <c r="M6" s="1">
        <v>237</v>
      </c>
      <c r="N6" s="1">
        <v>245</v>
      </c>
    </row>
    <row r="7" spans="1:15" x14ac:dyDescent="0.25">
      <c r="A7" s="1" t="s">
        <v>9</v>
      </c>
      <c r="B7" s="1">
        <v>89</v>
      </c>
      <c r="C7" s="1">
        <v>70</v>
      </c>
      <c r="D7" s="2">
        <f t="shared" si="1"/>
        <v>3.1348314606741575E-3</v>
      </c>
      <c r="E7" s="2">
        <f t="shared" si="2"/>
        <v>3.0857142857142858E-3</v>
      </c>
      <c r="F7" s="2">
        <f t="shared" si="3"/>
        <v>3.1102728731942217E-3</v>
      </c>
      <c r="G7" s="1">
        <v>2023</v>
      </c>
      <c r="H7" s="1">
        <v>1479</v>
      </c>
      <c r="I7" s="1">
        <v>30</v>
      </c>
      <c r="J7" s="1">
        <f t="shared" si="0"/>
        <v>2023</v>
      </c>
      <c r="K7" s="1">
        <f t="shared" si="4"/>
        <v>1545</v>
      </c>
      <c r="L7" s="1">
        <v>255</v>
      </c>
      <c r="M7" s="1">
        <v>255</v>
      </c>
      <c r="N7" s="1">
        <v>255</v>
      </c>
    </row>
    <row r="8" spans="1:15" x14ac:dyDescent="0.25">
      <c r="A8" s="5" t="s">
        <v>10</v>
      </c>
      <c r="B8" s="5">
        <v>101</v>
      </c>
      <c r="C8" s="5">
        <v>75</v>
      </c>
      <c r="D8" s="6">
        <f t="shared" si="1"/>
        <v>2.7623762376237627E-3</v>
      </c>
      <c r="E8" s="6">
        <f t="shared" si="2"/>
        <v>2.8800000000000002E-3</v>
      </c>
      <c r="F8" s="6">
        <f t="shared" si="3"/>
        <v>2.8211881188118814E-3</v>
      </c>
      <c r="G8" s="5">
        <v>2031</v>
      </c>
      <c r="H8" s="5">
        <v>1471</v>
      </c>
      <c r="I8" s="5">
        <v>30</v>
      </c>
      <c r="J8" s="5">
        <f t="shared" si="0"/>
        <v>2031</v>
      </c>
      <c r="K8" s="5">
        <f t="shared" si="4"/>
        <v>1553</v>
      </c>
      <c r="L8" s="5">
        <v>255</v>
      </c>
      <c r="M8" s="5">
        <v>255</v>
      </c>
      <c r="N8" s="5">
        <v>255</v>
      </c>
      <c r="O8" s="5" t="s">
        <v>69</v>
      </c>
    </row>
    <row r="9" spans="1:15" x14ac:dyDescent="0.25">
      <c r="A9" s="3" t="s">
        <v>11</v>
      </c>
      <c r="B9" s="3">
        <v>94</v>
      </c>
      <c r="C9" s="3">
        <v>70</v>
      </c>
      <c r="D9" s="4">
        <f t="shared" si="1"/>
        <v>2.9680851063829789E-3</v>
      </c>
      <c r="E9" s="4">
        <f t="shared" si="2"/>
        <v>3.0857142857142858E-3</v>
      </c>
      <c r="F9" s="4">
        <f t="shared" si="3"/>
        <v>3.0268996960486324E-3</v>
      </c>
      <c r="G9" s="3">
        <v>2053</v>
      </c>
      <c r="H9" s="3">
        <v>1462</v>
      </c>
      <c r="I9" s="3">
        <v>30</v>
      </c>
      <c r="J9" s="3">
        <f t="shared" si="0"/>
        <v>2053</v>
      </c>
      <c r="K9" s="3">
        <f t="shared" si="4"/>
        <v>1562</v>
      </c>
      <c r="L9" s="3">
        <v>255</v>
      </c>
      <c r="M9" s="3">
        <v>255</v>
      </c>
      <c r="N9" s="3">
        <v>255</v>
      </c>
      <c r="O9" s="3"/>
    </row>
    <row r="10" spans="1:15" x14ac:dyDescent="0.25">
      <c r="A10" s="3" t="s">
        <v>12</v>
      </c>
      <c r="B10" s="3">
        <v>93</v>
      </c>
      <c r="C10" s="3">
        <v>72</v>
      </c>
      <c r="D10" s="4">
        <f t="shared" si="1"/>
        <v>3.0000000000000001E-3</v>
      </c>
      <c r="E10" s="4">
        <f t="shared" si="2"/>
        <v>3.0000000000000001E-3</v>
      </c>
      <c r="F10" s="4">
        <f t="shared" si="3"/>
        <v>3.0000000000000001E-3</v>
      </c>
      <c r="G10" s="3">
        <v>2149</v>
      </c>
      <c r="H10" s="3">
        <v>1561</v>
      </c>
      <c r="I10" s="3">
        <v>30</v>
      </c>
      <c r="J10" s="3">
        <f t="shared" si="0"/>
        <v>2149</v>
      </c>
      <c r="K10" s="3">
        <f t="shared" si="4"/>
        <v>1463</v>
      </c>
      <c r="L10" s="3">
        <v>240</v>
      </c>
      <c r="M10" s="3">
        <v>255</v>
      </c>
      <c r="N10" s="3">
        <v>254</v>
      </c>
      <c r="O10" s="3"/>
    </row>
    <row r="11" spans="1:15" x14ac:dyDescent="0.25">
      <c r="A11" s="9" t="s">
        <v>13</v>
      </c>
      <c r="B11" s="9">
        <v>97</v>
      </c>
      <c r="C11" s="9">
        <v>79</v>
      </c>
      <c r="D11" s="10">
        <f t="shared" si="1"/>
        <v>2.8762886597938145E-3</v>
      </c>
      <c r="E11" s="10">
        <f t="shared" si="2"/>
        <v>2.7341772151898733E-3</v>
      </c>
      <c r="F11" s="10">
        <f t="shared" si="3"/>
        <v>2.8052329374918441E-3</v>
      </c>
      <c r="G11" s="9">
        <v>1856</v>
      </c>
      <c r="H11" s="9">
        <v>1447</v>
      </c>
      <c r="I11" s="9">
        <v>35</v>
      </c>
      <c r="J11" s="9">
        <f t="shared" si="0"/>
        <v>1856</v>
      </c>
      <c r="K11" s="9">
        <f t="shared" si="4"/>
        <v>1577</v>
      </c>
      <c r="L11" s="9">
        <v>255</v>
      </c>
      <c r="M11" s="9">
        <v>255</v>
      </c>
      <c r="N11" s="9">
        <v>253</v>
      </c>
      <c r="O11" s="9" t="s">
        <v>70</v>
      </c>
    </row>
    <row r="12" spans="1:15" x14ac:dyDescent="0.25">
      <c r="A12" s="3" t="s">
        <v>14</v>
      </c>
      <c r="B12" s="3">
        <v>106</v>
      </c>
      <c r="C12" s="3">
        <v>80</v>
      </c>
      <c r="D12" s="4">
        <f t="shared" si="1"/>
        <v>2.6320754716981135E-3</v>
      </c>
      <c r="E12" s="4">
        <f t="shared" si="2"/>
        <v>2.7000000000000001E-3</v>
      </c>
      <c r="F12" s="4">
        <f t="shared" si="3"/>
        <v>2.6660377358490566E-3</v>
      </c>
      <c r="G12" s="3">
        <v>2085</v>
      </c>
      <c r="H12" s="3">
        <v>1505</v>
      </c>
      <c r="I12" s="3">
        <v>35</v>
      </c>
      <c r="J12" s="3">
        <f t="shared" si="0"/>
        <v>2085</v>
      </c>
      <c r="K12" s="3">
        <f t="shared" si="4"/>
        <v>1519</v>
      </c>
      <c r="L12" s="3">
        <v>247</v>
      </c>
      <c r="M12" s="3">
        <v>255</v>
      </c>
      <c r="N12" s="3">
        <v>254</v>
      </c>
      <c r="O12" s="3"/>
    </row>
    <row r="13" spans="1:15" x14ac:dyDescent="0.25">
      <c r="A13" s="9" t="s">
        <v>15</v>
      </c>
      <c r="B13" s="9">
        <v>106</v>
      </c>
      <c r="C13" s="9">
        <v>78</v>
      </c>
      <c r="D13" s="10">
        <f t="shared" si="1"/>
        <v>2.6320754716981135E-3</v>
      </c>
      <c r="E13" s="10">
        <f t="shared" si="2"/>
        <v>2.7692307692307691E-3</v>
      </c>
      <c r="F13" s="10">
        <f t="shared" si="3"/>
        <v>2.7006531204644413E-3</v>
      </c>
      <c r="G13" s="9">
        <v>2072</v>
      </c>
      <c r="H13" s="9">
        <v>1537</v>
      </c>
      <c r="I13" s="9">
        <v>35</v>
      </c>
      <c r="J13" s="9">
        <f t="shared" si="0"/>
        <v>2072</v>
      </c>
      <c r="K13" s="9">
        <f t="shared" si="4"/>
        <v>1487</v>
      </c>
      <c r="L13" s="9">
        <v>254</v>
      </c>
      <c r="M13" s="9">
        <v>255</v>
      </c>
      <c r="N13" s="9">
        <v>255</v>
      </c>
      <c r="O13" s="9" t="s">
        <v>70</v>
      </c>
    </row>
    <row r="14" spans="1:15" x14ac:dyDescent="0.25">
      <c r="A14" s="3" t="s">
        <v>16</v>
      </c>
      <c r="B14" s="3">
        <v>99</v>
      </c>
      <c r="C14" s="3">
        <v>79</v>
      </c>
      <c r="D14" s="4">
        <f t="shared" si="1"/>
        <v>2.8181818181818186E-3</v>
      </c>
      <c r="E14" s="4">
        <f t="shared" si="2"/>
        <v>2.7341772151898733E-3</v>
      </c>
      <c r="F14" s="4">
        <f t="shared" si="3"/>
        <v>2.7761795166858462E-3</v>
      </c>
      <c r="G14" s="3">
        <v>2010</v>
      </c>
      <c r="H14" s="3">
        <v>1477</v>
      </c>
      <c r="I14" s="3">
        <v>35</v>
      </c>
      <c r="J14" s="3">
        <f t="shared" si="0"/>
        <v>2010</v>
      </c>
      <c r="K14" s="3">
        <f t="shared" si="4"/>
        <v>1547</v>
      </c>
      <c r="L14" s="3">
        <v>212</v>
      </c>
      <c r="M14" s="3">
        <v>251</v>
      </c>
      <c r="N14" s="3">
        <v>255</v>
      </c>
      <c r="O14" s="3"/>
    </row>
    <row r="15" spans="1:15" x14ac:dyDescent="0.25">
      <c r="A15" s="3" t="s">
        <v>17</v>
      </c>
      <c r="B15" s="3">
        <v>96</v>
      </c>
      <c r="C15" s="3">
        <v>74</v>
      </c>
      <c r="D15" s="4">
        <f t="shared" si="1"/>
        <v>2.9062500000000004E-3</v>
      </c>
      <c r="E15" s="4">
        <f t="shared" si="2"/>
        <v>2.9189189189189188E-3</v>
      </c>
      <c r="F15" s="4">
        <f t="shared" si="3"/>
        <v>2.9125844594594594E-3</v>
      </c>
      <c r="G15" s="3">
        <v>1907</v>
      </c>
      <c r="H15" s="3">
        <v>1502</v>
      </c>
      <c r="I15" s="3">
        <v>35</v>
      </c>
      <c r="J15" s="3">
        <f t="shared" si="0"/>
        <v>1907</v>
      </c>
      <c r="K15" s="3">
        <f t="shared" si="4"/>
        <v>1522</v>
      </c>
      <c r="L15" s="3">
        <v>255</v>
      </c>
      <c r="M15" s="3">
        <v>255</v>
      </c>
      <c r="N15" s="3">
        <v>255</v>
      </c>
      <c r="O15" s="3"/>
    </row>
    <row r="16" spans="1:15" x14ac:dyDescent="0.25">
      <c r="A16" s="1" t="s">
        <v>18</v>
      </c>
      <c r="B16" s="1">
        <v>93</v>
      </c>
      <c r="C16" s="1">
        <v>72</v>
      </c>
      <c r="D16" s="2">
        <f t="shared" si="1"/>
        <v>3.0000000000000001E-3</v>
      </c>
      <c r="E16" s="2">
        <f t="shared" si="2"/>
        <v>3.0000000000000001E-3</v>
      </c>
      <c r="F16" s="2">
        <f t="shared" si="3"/>
        <v>3.0000000000000001E-3</v>
      </c>
      <c r="G16" s="1">
        <v>1907</v>
      </c>
      <c r="H16" s="1">
        <v>1483</v>
      </c>
      <c r="I16" s="1">
        <v>35</v>
      </c>
      <c r="J16" s="1">
        <f t="shared" si="0"/>
        <v>1907</v>
      </c>
      <c r="K16" s="1">
        <f t="shared" si="4"/>
        <v>1541</v>
      </c>
      <c r="L16" s="1">
        <v>255</v>
      </c>
      <c r="M16" s="1">
        <v>255</v>
      </c>
      <c r="N16" s="1">
        <v>255</v>
      </c>
    </row>
    <row r="17" spans="1:15" x14ac:dyDescent="0.25">
      <c r="A17" s="1" t="s">
        <v>19</v>
      </c>
      <c r="B17" s="1">
        <v>120</v>
      </c>
      <c r="C17" s="1">
        <v>91</v>
      </c>
      <c r="D17" s="2">
        <f t="shared" si="1"/>
        <v>2.3250000000000002E-3</v>
      </c>
      <c r="E17" s="2">
        <f t="shared" si="2"/>
        <v>2.3736263736263735E-3</v>
      </c>
      <c r="F17" s="2">
        <f t="shared" si="3"/>
        <v>2.3493131868131869E-3</v>
      </c>
      <c r="G17" s="1">
        <v>2021</v>
      </c>
      <c r="H17" s="1">
        <v>1461</v>
      </c>
      <c r="I17" s="1">
        <v>40</v>
      </c>
      <c r="J17" s="1">
        <f t="shared" si="0"/>
        <v>2021</v>
      </c>
      <c r="K17" s="1">
        <f t="shared" si="4"/>
        <v>1563</v>
      </c>
      <c r="L17" s="1">
        <v>240</v>
      </c>
      <c r="M17" s="1">
        <v>252</v>
      </c>
      <c r="N17" s="1">
        <v>254</v>
      </c>
    </row>
    <row r="18" spans="1:15" x14ac:dyDescent="0.25">
      <c r="A18" s="1" t="s">
        <v>20</v>
      </c>
      <c r="B18" s="1">
        <v>105</v>
      </c>
      <c r="C18" s="1">
        <v>79</v>
      </c>
      <c r="D18" s="2">
        <f t="shared" si="1"/>
        <v>2.6571428571428575E-3</v>
      </c>
      <c r="E18" s="2">
        <f t="shared" si="2"/>
        <v>2.7341772151898733E-3</v>
      </c>
      <c r="F18" s="2">
        <f t="shared" si="3"/>
        <v>2.6956600361663654E-3</v>
      </c>
      <c r="G18" s="1">
        <v>2107</v>
      </c>
      <c r="H18" s="1">
        <v>1524</v>
      </c>
      <c r="I18" s="1">
        <v>35</v>
      </c>
      <c r="J18" s="1">
        <f t="shared" si="0"/>
        <v>2107</v>
      </c>
      <c r="K18" s="1">
        <f t="shared" si="4"/>
        <v>1500</v>
      </c>
      <c r="L18" s="1">
        <v>255</v>
      </c>
      <c r="M18" s="1">
        <v>255</v>
      </c>
      <c r="N18" s="1">
        <v>255</v>
      </c>
    </row>
    <row r="19" spans="1:15" x14ac:dyDescent="0.25">
      <c r="A19" s="1" t="s">
        <v>21</v>
      </c>
      <c r="B19" s="1">
        <v>81</v>
      </c>
      <c r="C19" s="1">
        <v>62</v>
      </c>
      <c r="D19" s="2">
        <f t="shared" si="1"/>
        <v>3.4444444444444449E-3</v>
      </c>
      <c r="E19" s="2">
        <f t="shared" si="2"/>
        <v>3.4838709677419357E-3</v>
      </c>
      <c r="F19" s="2">
        <f t="shared" si="3"/>
        <v>3.4641577060931903E-3</v>
      </c>
      <c r="G19" s="1">
        <v>2063</v>
      </c>
      <c r="H19" s="1">
        <v>1472</v>
      </c>
      <c r="I19" s="1">
        <v>30</v>
      </c>
      <c r="J19" s="1">
        <f t="shared" si="0"/>
        <v>2063</v>
      </c>
      <c r="K19" s="1">
        <f t="shared" si="4"/>
        <v>1552</v>
      </c>
      <c r="L19" s="1">
        <v>255</v>
      </c>
      <c r="M19" s="1">
        <v>255</v>
      </c>
      <c r="N19" s="1">
        <v>255</v>
      </c>
    </row>
    <row r="20" spans="1:15" x14ac:dyDescent="0.25">
      <c r="A20" s="1" t="s">
        <v>22</v>
      </c>
      <c r="B20" s="1">
        <v>89</v>
      </c>
      <c r="C20" s="1">
        <v>69</v>
      </c>
      <c r="D20" s="2">
        <f t="shared" si="1"/>
        <v>3.1348314606741575E-3</v>
      </c>
      <c r="E20" s="2">
        <f t="shared" si="2"/>
        <v>3.1304347826086958E-3</v>
      </c>
      <c r="F20" s="2">
        <f t="shared" si="3"/>
        <v>3.1326331216414267E-3</v>
      </c>
      <c r="G20" s="1">
        <v>2100</v>
      </c>
      <c r="H20" s="1">
        <v>1475</v>
      </c>
      <c r="I20" s="1">
        <v>30</v>
      </c>
      <c r="J20" s="1">
        <f t="shared" si="0"/>
        <v>2100</v>
      </c>
      <c r="K20" s="1">
        <f t="shared" si="4"/>
        <v>1549</v>
      </c>
      <c r="L20" s="1">
        <v>255</v>
      </c>
      <c r="M20" s="1">
        <v>255</v>
      </c>
      <c r="N20" s="1">
        <v>255</v>
      </c>
    </row>
    <row r="21" spans="1:15" x14ac:dyDescent="0.25">
      <c r="A21" s="1" t="s">
        <v>23</v>
      </c>
      <c r="B21" s="1">
        <v>100</v>
      </c>
      <c r="C21" s="1">
        <v>70</v>
      </c>
      <c r="D21" s="2">
        <f t="shared" si="1"/>
        <v>2.7900000000000004E-3</v>
      </c>
      <c r="E21" s="2">
        <f t="shared" si="2"/>
        <v>3.0857142857142858E-3</v>
      </c>
      <c r="F21" s="2">
        <f t="shared" si="3"/>
        <v>2.9378571428571431E-3</v>
      </c>
      <c r="G21" s="1">
        <v>2090</v>
      </c>
      <c r="H21" s="1">
        <v>1500</v>
      </c>
      <c r="I21" s="1">
        <v>30</v>
      </c>
      <c r="J21" s="1">
        <f t="shared" si="0"/>
        <v>2090</v>
      </c>
      <c r="K21" s="1">
        <f t="shared" si="4"/>
        <v>1524</v>
      </c>
      <c r="L21" s="1">
        <v>255</v>
      </c>
      <c r="M21" s="1">
        <v>255</v>
      </c>
      <c r="N21" s="1">
        <v>255</v>
      </c>
    </row>
    <row r="22" spans="1:15" x14ac:dyDescent="0.25">
      <c r="A22" s="7" t="s">
        <v>24</v>
      </c>
      <c r="B22" s="7">
        <v>83</v>
      </c>
      <c r="C22" s="7">
        <v>64</v>
      </c>
      <c r="D22" s="8">
        <f t="shared" si="1"/>
        <v>3.3614457831325304E-3</v>
      </c>
      <c r="E22" s="8">
        <f t="shared" si="2"/>
        <v>3.375E-3</v>
      </c>
      <c r="F22" s="8">
        <f t="shared" si="3"/>
        <v>3.368222891566265E-3</v>
      </c>
      <c r="G22" s="7">
        <v>2007</v>
      </c>
      <c r="H22" s="7">
        <v>1464</v>
      </c>
      <c r="I22" s="7">
        <v>30</v>
      </c>
      <c r="J22" s="7">
        <f t="shared" si="0"/>
        <v>2007</v>
      </c>
      <c r="K22" s="7">
        <f t="shared" si="4"/>
        <v>1560</v>
      </c>
      <c r="L22" s="7">
        <v>163</v>
      </c>
      <c r="M22" s="7">
        <v>235</v>
      </c>
      <c r="N22" s="7">
        <v>253</v>
      </c>
      <c r="O22" s="7" t="s">
        <v>72</v>
      </c>
    </row>
    <row r="23" spans="1:15" x14ac:dyDescent="0.25">
      <c r="A23" s="1" t="s">
        <v>25</v>
      </c>
      <c r="B23" s="1">
        <v>92</v>
      </c>
      <c r="C23" s="1">
        <v>70</v>
      </c>
      <c r="D23" s="2">
        <f t="shared" si="1"/>
        <v>3.0326086956521743E-3</v>
      </c>
      <c r="E23" s="2">
        <f t="shared" si="2"/>
        <v>3.0857142857142858E-3</v>
      </c>
      <c r="F23" s="2">
        <f t="shared" si="3"/>
        <v>3.0591614906832301E-3</v>
      </c>
      <c r="G23" s="1">
        <v>2040</v>
      </c>
      <c r="H23" s="1">
        <v>1515</v>
      </c>
      <c r="I23" s="1">
        <v>35</v>
      </c>
      <c r="J23" s="1">
        <f t="shared" si="0"/>
        <v>2040</v>
      </c>
      <c r="K23" s="1">
        <f t="shared" si="4"/>
        <v>1509</v>
      </c>
      <c r="L23" s="1">
        <v>247</v>
      </c>
      <c r="M23" s="1">
        <v>255</v>
      </c>
      <c r="N23" s="1">
        <v>255</v>
      </c>
    </row>
    <row r="24" spans="1:15" x14ac:dyDescent="0.25">
      <c r="A24" s="1" t="s">
        <v>26</v>
      </c>
      <c r="B24" s="1">
        <v>91</v>
      </c>
      <c r="C24" s="1">
        <v>69</v>
      </c>
      <c r="D24" s="2">
        <f t="shared" si="1"/>
        <v>3.0659340659340661E-3</v>
      </c>
      <c r="E24" s="2">
        <f t="shared" si="2"/>
        <v>3.1304347826086958E-3</v>
      </c>
      <c r="F24" s="2">
        <f t="shared" si="3"/>
        <v>3.098184424271381E-3</v>
      </c>
      <c r="G24" s="1">
        <v>1994</v>
      </c>
      <c r="H24" s="1">
        <v>1510</v>
      </c>
      <c r="I24" s="1">
        <v>30</v>
      </c>
      <c r="J24" s="1">
        <f t="shared" si="0"/>
        <v>1994</v>
      </c>
      <c r="K24" s="1">
        <f t="shared" si="4"/>
        <v>1514</v>
      </c>
      <c r="L24" s="1">
        <v>255</v>
      </c>
      <c r="M24" s="1">
        <v>255</v>
      </c>
      <c r="N24" s="1">
        <v>255</v>
      </c>
    </row>
    <row r="25" spans="1:15" x14ac:dyDescent="0.25">
      <c r="A25" s="13" t="s">
        <v>27</v>
      </c>
      <c r="B25" s="13">
        <v>98</v>
      </c>
      <c r="C25" s="13">
        <v>77</v>
      </c>
      <c r="D25" s="14">
        <f t="shared" si="1"/>
        <v>2.8469387755102045E-3</v>
      </c>
      <c r="E25" s="14">
        <f t="shared" si="2"/>
        <v>2.8051948051948054E-3</v>
      </c>
      <c r="F25" s="14">
        <f t="shared" si="3"/>
        <v>2.8260667903525051E-3</v>
      </c>
      <c r="G25" s="13">
        <v>1915</v>
      </c>
      <c r="H25" s="13">
        <v>1423</v>
      </c>
      <c r="I25" s="13">
        <v>35</v>
      </c>
      <c r="J25" s="13">
        <f t="shared" si="0"/>
        <v>1915</v>
      </c>
      <c r="K25" s="13">
        <f t="shared" si="4"/>
        <v>1601</v>
      </c>
      <c r="L25" s="13">
        <v>255</v>
      </c>
      <c r="M25" s="13">
        <v>255</v>
      </c>
      <c r="N25" s="13">
        <v>255</v>
      </c>
      <c r="O25" s="13" t="s">
        <v>69</v>
      </c>
    </row>
    <row r="26" spans="1:15" x14ac:dyDescent="0.25">
      <c r="A26" s="15" t="s">
        <v>28</v>
      </c>
      <c r="B26" s="15">
        <v>91</v>
      </c>
      <c r="C26" s="15">
        <v>70</v>
      </c>
      <c r="D26" s="16">
        <f t="shared" si="1"/>
        <v>3.0659340659340661E-3</v>
      </c>
      <c r="E26" s="16">
        <f t="shared" si="2"/>
        <v>3.0857142857142858E-3</v>
      </c>
      <c r="F26" s="16">
        <f t="shared" si="3"/>
        <v>3.075824175824176E-3</v>
      </c>
      <c r="G26" s="15">
        <v>2076</v>
      </c>
      <c r="H26" s="15">
        <v>1467</v>
      </c>
      <c r="I26" s="15">
        <v>30</v>
      </c>
      <c r="J26" s="15">
        <f t="shared" si="0"/>
        <v>2076</v>
      </c>
      <c r="K26" s="15">
        <f t="shared" si="4"/>
        <v>1557</v>
      </c>
      <c r="L26" s="15">
        <v>255</v>
      </c>
      <c r="M26" s="15">
        <v>255</v>
      </c>
      <c r="N26" s="15">
        <v>255</v>
      </c>
      <c r="O26" s="15"/>
    </row>
    <row r="27" spans="1:15" ht="15.75" thickBot="1" x14ac:dyDescent="0.3">
      <c r="A27" s="17" t="s">
        <v>29</v>
      </c>
      <c r="B27" s="17">
        <v>99</v>
      </c>
      <c r="C27" s="17">
        <v>79</v>
      </c>
      <c r="D27" s="18">
        <f t="shared" si="1"/>
        <v>2.8181818181818186E-3</v>
      </c>
      <c r="E27" s="18">
        <f t="shared" si="2"/>
        <v>2.7341772151898733E-3</v>
      </c>
      <c r="F27" s="18">
        <f t="shared" si="3"/>
        <v>2.7761795166858462E-3</v>
      </c>
      <c r="G27" s="17">
        <v>1977</v>
      </c>
      <c r="H27" s="17">
        <v>1435</v>
      </c>
      <c r="I27" s="17">
        <v>35</v>
      </c>
      <c r="J27" s="17">
        <f t="shared" si="0"/>
        <v>1977</v>
      </c>
      <c r="K27" s="17">
        <f t="shared" si="4"/>
        <v>1589</v>
      </c>
      <c r="L27" s="17">
        <v>255</v>
      </c>
      <c r="M27" s="17">
        <v>255</v>
      </c>
      <c r="N27" s="17">
        <v>255</v>
      </c>
      <c r="O27" s="17"/>
    </row>
    <row r="28" spans="1:15" x14ac:dyDescent="0.25">
      <c r="A28" s="1" t="s">
        <v>4</v>
      </c>
      <c r="B28" s="1">
        <v>79</v>
      </c>
      <c r="C28" s="1">
        <v>66</v>
      </c>
      <c r="D28" s="2">
        <f t="shared" si="1"/>
        <v>3.5316455696202537E-3</v>
      </c>
      <c r="E28" s="2">
        <f t="shared" si="2"/>
        <v>3.2727272727272726E-3</v>
      </c>
      <c r="F28" s="2">
        <f t="shared" si="3"/>
        <v>3.4021864211737632E-3</v>
      </c>
      <c r="G28" s="1">
        <v>1990</v>
      </c>
      <c r="H28" s="1">
        <v>1540</v>
      </c>
      <c r="I28" s="1">
        <v>30</v>
      </c>
      <c r="J28" s="1">
        <f t="shared" si="0"/>
        <v>1990</v>
      </c>
      <c r="K28" s="1">
        <f t="shared" si="4"/>
        <v>1484</v>
      </c>
      <c r="L28" s="1">
        <v>255</v>
      </c>
      <c r="M28" s="1">
        <v>255</v>
      </c>
      <c r="N28" s="1">
        <v>255</v>
      </c>
    </row>
    <row r="29" spans="1:15" x14ac:dyDescent="0.25">
      <c r="A29" s="1" t="s">
        <v>54</v>
      </c>
      <c r="B29" s="1">
        <v>38</v>
      </c>
      <c r="C29" s="1">
        <v>29</v>
      </c>
      <c r="D29" s="2">
        <f t="shared" si="1"/>
        <v>7.3421052631578955E-3</v>
      </c>
      <c r="E29" s="2">
        <f t="shared" si="2"/>
        <v>7.4482758620689656E-3</v>
      </c>
      <c r="F29" s="2">
        <f t="shared" si="3"/>
        <v>7.3951905626134309E-3</v>
      </c>
      <c r="G29" s="1">
        <v>811</v>
      </c>
      <c r="H29" s="1">
        <v>597</v>
      </c>
      <c r="I29" s="1">
        <v>12.5</v>
      </c>
      <c r="J29" s="1">
        <f t="shared" si="0"/>
        <v>811</v>
      </c>
      <c r="K29" s="1">
        <f>1200-H29</f>
        <v>603</v>
      </c>
      <c r="L29" s="1">
        <v>249.5</v>
      </c>
      <c r="M29" s="1">
        <v>255</v>
      </c>
      <c r="N29" s="1">
        <v>255</v>
      </c>
      <c r="O29" s="1" t="s">
        <v>67</v>
      </c>
    </row>
    <row r="30" spans="1:15" x14ac:dyDescent="0.25">
      <c r="A30" s="5" t="s">
        <v>30</v>
      </c>
      <c r="B30" s="5">
        <v>85</v>
      </c>
      <c r="C30" s="5">
        <v>66</v>
      </c>
      <c r="D30" s="6">
        <f t="shared" si="1"/>
        <v>3.2823529411764711E-3</v>
      </c>
      <c r="E30" s="6">
        <f t="shared" si="2"/>
        <v>3.2727272727272726E-3</v>
      </c>
      <c r="F30" s="6">
        <f t="shared" si="3"/>
        <v>3.2775401069518716E-3</v>
      </c>
      <c r="G30" s="5">
        <v>2063</v>
      </c>
      <c r="H30" s="5">
        <v>1526</v>
      </c>
      <c r="I30" s="5">
        <v>30</v>
      </c>
      <c r="J30" s="5">
        <f t="shared" si="0"/>
        <v>2063</v>
      </c>
      <c r="K30" s="5">
        <f t="shared" ref="K30:K54" si="5">3024-H30</f>
        <v>1498</v>
      </c>
      <c r="L30" s="5">
        <v>255</v>
      </c>
      <c r="M30" s="5">
        <v>255</v>
      </c>
      <c r="N30" s="5">
        <v>255</v>
      </c>
      <c r="O30" s="5" t="s">
        <v>69</v>
      </c>
    </row>
    <row r="31" spans="1:15" x14ac:dyDescent="0.25">
      <c r="A31" s="1" t="s">
        <v>31</v>
      </c>
      <c r="B31" s="1">
        <v>109</v>
      </c>
      <c r="C31" s="1">
        <v>86</v>
      </c>
      <c r="D31" s="2">
        <f t="shared" si="1"/>
        <v>2.5596330275229361E-3</v>
      </c>
      <c r="E31" s="2">
        <f t="shared" si="2"/>
        <v>2.5116279069767444E-3</v>
      </c>
      <c r="F31" s="2">
        <f t="shared" si="3"/>
        <v>2.53563046724984E-3</v>
      </c>
      <c r="G31" s="1">
        <v>1937</v>
      </c>
      <c r="H31" s="1">
        <v>1559</v>
      </c>
      <c r="I31" s="1">
        <v>40</v>
      </c>
      <c r="J31" s="1">
        <f t="shared" si="0"/>
        <v>1937</v>
      </c>
      <c r="K31" s="1">
        <f t="shared" si="5"/>
        <v>1465</v>
      </c>
      <c r="L31" s="1">
        <v>255</v>
      </c>
      <c r="M31" s="1">
        <v>255</v>
      </c>
      <c r="N31" s="1">
        <v>255</v>
      </c>
    </row>
    <row r="32" spans="1:15" x14ac:dyDescent="0.25">
      <c r="A32" s="1" t="s">
        <v>32</v>
      </c>
      <c r="B32" s="1">
        <v>93</v>
      </c>
      <c r="C32" s="1">
        <v>73</v>
      </c>
      <c r="D32" s="2">
        <f t="shared" si="1"/>
        <v>3.0000000000000001E-3</v>
      </c>
      <c r="E32" s="2">
        <f t="shared" si="2"/>
        <v>2.958904109589041E-3</v>
      </c>
      <c r="F32" s="2">
        <f t="shared" si="3"/>
        <v>2.9794520547945205E-3</v>
      </c>
      <c r="G32" s="1">
        <v>2048</v>
      </c>
      <c r="H32" s="1">
        <v>1483</v>
      </c>
      <c r="I32" s="1">
        <v>35</v>
      </c>
      <c r="J32" s="1">
        <f t="shared" si="0"/>
        <v>2048</v>
      </c>
      <c r="K32" s="1">
        <f t="shared" si="5"/>
        <v>1541</v>
      </c>
      <c r="L32" s="1">
        <v>232</v>
      </c>
      <c r="M32" s="1">
        <v>251</v>
      </c>
      <c r="N32" s="1">
        <v>255</v>
      </c>
    </row>
    <row r="33" spans="1:15" x14ac:dyDescent="0.25">
      <c r="A33" s="1" t="s">
        <v>33</v>
      </c>
      <c r="B33" s="1">
        <v>88</v>
      </c>
      <c r="C33" s="1">
        <v>70</v>
      </c>
      <c r="D33" s="2">
        <f t="shared" si="1"/>
        <v>3.1704545454545457E-3</v>
      </c>
      <c r="E33" s="2">
        <f t="shared" si="2"/>
        <v>3.0857142857142858E-3</v>
      </c>
      <c r="F33" s="2">
        <f t="shared" si="3"/>
        <v>3.1280844155844156E-3</v>
      </c>
      <c r="G33" s="1">
        <v>2065</v>
      </c>
      <c r="H33" s="1">
        <v>1512</v>
      </c>
      <c r="I33" s="1">
        <v>35</v>
      </c>
      <c r="J33" s="1">
        <f t="shared" si="0"/>
        <v>2065</v>
      </c>
      <c r="K33" s="1">
        <f t="shared" si="5"/>
        <v>1512</v>
      </c>
      <c r="L33" s="1">
        <v>255</v>
      </c>
      <c r="M33" s="1">
        <v>255</v>
      </c>
      <c r="N33" s="1">
        <v>255</v>
      </c>
    </row>
    <row r="34" spans="1:15" x14ac:dyDescent="0.25">
      <c r="A34" s="5" t="s">
        <v>34</v>
      </c>
      <c r="B34" s="5">
        <v>101</v>
      </c>
      <c r="C34" s="5">
        <v>71</v>
      </c>
      <c r="D34" s="6">
        <f t="shared" si="1"/>
        <v>2.7623762376237627E-3</v>
      </c>
      <c r="E34" s="6">
        <f t="shared" si="2"/>
        <v>3.0422535211267606E-3</v>
      </c>
      <c r="F34" s="6">
        <f t="shared" si="3"/>
        <v>2.9023148793752614E-3</v>
      </c>
      <c r="G34" s="5">
        <v>2100</v>
      </c>
      <c r="H34" s="5">
        <v>1536</v>
      </c>
      <c r="I34" s="5">
        <v>35</v>
      </c>
      <c r="J34" s="5">
        <f t="shared" ref="J34:J54" si="6">G34</f>
        <v>2100</v>
      </c>
      <c r="K34" s="5">
        <f t="shared" si="5"/>
        <v>1488</v>
      </c>
      <c r="L34" s="5">
        <v>254</v>
      </c>
      <c r="M34" s="5">
        <v>255</v>
      </c>
      <c r="N34" s="5">
        <v>255</v>
      </c>
      <c r="O34" s="5" t="s">
        <v>69</v>
      </c>
    </row>
    <row r="35" spans="1:15" x14ac:dyDescent="0.25">
      <c r="A35" s="1" t="s">
        <v>35</v>
      </c>
      <c r="B35" s="1">
        <v>91</v>
      </c>
      <c r="C35" s="1">
        <v>72</v>
      </c>
      <c r="D35" s="2">
        <f t="shared" si="1"/>
        <v>3.0659340659340661E-3</v>
      </c>
      <c r="E35" s="2">
        <f t="shared" si="2"/>
        <v>3.0000000000000001E-3</v>
      </c>
      <c r="F35" s="2">
        <f t="shared" si="3"/>
        <v>3.0329670329670329E-3</v>
      </c>
      <c r="G35" s="1">
        <v>1917</v>
      </c>
      <c r="H35" s="1">
        <v>1444</v>
      </c>
      <c r="I35" s="1">
        <v>30</v>
      </c>
      <c r="J35" s="1">
        <f t="shared" si="6"/>
        <v>1917</v>
      </c>
      <c r="K35" s="1">
        <f t="shared" si="5"/>
        <v>1580</v>
      </c>
      <c r="L35" s="1">
        <v>255</v>
      </c>
      <c r="M35" s="1">
        <v>255</v>
      </c>
      <c r="N35" s="1">
        <v>255</v>
      </c>
    </row>
    <row r="36" spans="1:15" x14ac:dyDescent="0.25">
      <c r="A36" s="11" t="s">
        <v>36</v>
      </c>
      <c r="B36" s="11">
        <v>120</v>
      </c>
      <c r="C36" s="11">
        <v>98</v>
      </c>
      <c r="D36" s="12">
        <f t="shared" si="1"/>
        <v>2.3250000000000002E-3</v>
      </c>
      <c r="E36" s="12">
        <f t="shared" si="2"/>
        <v>2.2040816326530611E-3</v>
      </c>
      <c r="F36" s="12">
        <f t="shared" si="3"/>
        <v>2.2645408163265305E-3</v>
      </c>
      <c r="G36" s="11">
        <v>2149</v>
      </c>
      <c r="H36" s="11">
        <v>1562</v>
      </c>
      <c r="I36" s="11">
        <v>35</v>
      </c>
      <c r="J36" s="11">
        <f t="shared" si="6"/>
        <v>2149</v>
      </c>
      <c r="K36" s="11">
        <f t="shared" si="5"/>
        <v>1462</v>
      </c>
      <c r="L36" s="11">
        <v>188</v>
      </c>
      <c r="M36" s="11">
        <v>176</v>
      </c>
      <c r="N36" s="11">
        <v>130</v>
      </c>
      <c r="O36" s="11" t="s">
        <v>71</v>
      </c>
    </row>
    <row r="37" spans="1:15" x14ac:dyDescent="0.25">
      <c r="A37" s="7" t="s">
        <v>37</v>
      </c>
      <c r="B37" s="7">
        <v>84</v>
      </c>
      <c r="C37" s="7">
        <v>64</v>
      </c>
      <c r="D37" s="8">
        <f t="shared" si="1"/>
        <v>3.3214285714285715E-3</v>
      </c>
      <c r="E37" s="8">
        <f t="shared" si="2"/>
        <v>3.375E-3</v>
      </c>
      <c r="F37" s="8">
        <f t="shared" si="3"/>
        <v>3.348214285714286E-3</v>
      </c>
      <c r="G37" s="7">
        <v>1963</v>
      </c>
      <c r="H37" s="7">
        <v>1477</v>
      </c>
      <c r="I37" s="7">
        <v>30</v>
      </c>
      <c r="J37" s="7">
        <f t="shared" si="6"/>
        <v>1963</v>
      </c>
      <c r="K37" s="7">
        <f t="shared" si="5"/>
        <v>1547</v>
      </c>
      <c r="L37" s="7">
        <v>210</v>
      </c>
      <c r="M37" s="7">
        <v>238</v>
      </c>
      <c r="N37" s="7">
        <v>249</v>
      </c>
      <c r="O37" s="7" t="s">
        <v>72</v>
      </c>
    </row>
    <row r="38" spans="1:15" x14ac:dyDescent="0.25">
      <c r="A38" s="1" t="s">
        <v>38</v>
      </c>
      <c r="B38" s="1">
        <v>96</v>
      </c>
      <c r="C38" s="1">
        <v>74</v>
      </c>
      <c r="D38" s="2">
        <f t="shared" si="1"/>
        <v>2.9062500000000004E-3</v>
      </c>
      <c r="E38" s="2">
        <f t="shared" si="2"/>
        <v>2.9189189189189188E-3</v>
      </c>
      <c r="F38" s="2">
        <f t="shared" si="3"/>
        <v>2.9125844594594594E-3</v>
      </c>
      <c r="G38" s="1">
        <v>1974</v>
      </c>
      <c r="H38" s="1">
        <v>1454</v>
      </c>
      <c r="I38" s="1">
        <v>35</v>
      </c>
      <c r="J38" s="1">
        <f t="shared" si="6"/>
        <v>1974</v>
      </c>
      <c r="K38" s="1">
        <f t="shared" si="5"/>
        <v>1570</v>
      </c>
      <c r="L38" s="1">
        <v>239</v>
      </c>
      <c r="M38" s="1">
        <v>251</v>
      </c>
      <c r="N38" s="1">
        <v>254</v>
      </c>
    </row>
    <row r="39" spans="1:15" x14ac:dyDescent="0.25">
      <c r="A39" s="3" t="s">
        <v>63</v>
      </c>
      <c r="B39" s="3">
        <v>105</v>
      </c>
      <c r="C39" s="3">
        <v>83</v>
      </c>
      <c r="D39" s="4">
        <f t="shared" si="1"/>
        <v>2.6571428571428575E-3</v>
      </c>
      <c r="E39" s="4">
        <f t="shared" si="2"/>
        <v>2.6024096385542169E-3</v>
      </c>
      <c r="F39" s="4">
        <f t="shared" si="3"/>
        <v>2.6297762478485372E-3</v>
      </c>
      <c r="G39" s="3">
        <v>1946</v>
      </c>
      <c r="H39" s="3">
        <v>1482</v>
      </c>
      <c r="I39" s="3">
        <v>35</v>
      </c>
      <c r="J39" s="3">
        <f t="shared" si="6"/>
        <v>1946</v>
      </c>
      <c r="K39" s="3">
        <f t="shared" si="5"/>
        <v>1542</v>
      </c>
      <c r="L39" s="3">
        <v>255</v>
      </c>
      <c r="M39" s="3">
        <v>255</v>
      </c>
      <c r="N39" s="3">
        <v>255</v>
      </c>
      <c r="O39" s="3"/>
    </row>
    <row r="40" spans="1:15" x14ac:dyDescent="0.25">
      <c r="A40" s="9" t="s">
        <v>39</v>
      </c>
      <c r="B40" s="9">
        <v>102</v>
      </c>
      <c r="C40" s="9">
        <v>73</v>
      </c>
      <c r="D40" s="10">
        <f t="shared" si="1"/>
        <v>2.7352941176470593E-3</v>
      </c>
      <c r="E40" s="10">
        <f t="shared" si="2"/>
        <v>2.958904109589041E-3</v>
      </c>
      <c r="F40" s="10">
        <f t="shared" si="3"/>
        <v>2.8470991136180504E-3</v>
      </c>
      <c r="G40" s="9">
        <v>1951</v>
      </c>
      <c r="H40" s="9">
        <v>1471</v>
      </c>
      <c r="I40" s="9">
        <v>35</v>
      </c>
      <c r="J40" s="9">
        <f t="shared" si="6"/>
        <v>1951</v>
      </c>
      <c r="K40" s="9">
        <f t="shared" si="5"/>
        <v>1553</v>
      </c>
      <c r="L40" s="9">
        <v>254</v>
      </c>
      <c r="M40" s="9">
        <v>255</v>
      </c>
      <c r="N40" s="9">
        <v>255</v>
      </c>
      <c r="O40" s="9" t="s">
        <v>70</v>
      </c>
    </row>
    <row r="41" spans="1:15" x14ac:dyDescent="0.25">
      <c r="A41" s="3" t="s">
        <v>40</v>
      </c>
      <c r="B41" s="3">
        <v>99</v>
      </c>
      <c r="C41" s="3">
        <v>76</v>
      </c>
      <c r="D41" s="4">
        <f t="shared" si="1"/>
        <v>2.8181818181818186E-3</v>
      </c>
      <c r="E41" s="4">
        <f t="shared" si="2"/>
        <v>2.8421052631578945E-3</v>
      </c>
      <c r="F41" s="4">
        <f t="shared" si="3"/>
        <v>2.8301435406698564E-3</v>
      </c>
      <c r="G41" s="3">
        <v>2076</v>
      </c>
      <c r="H41" s="3">
        <v>1464</v>
      </c>
      <c r="I41" s="3">
        <v>35</v>
      </c>
      <c r="J41" s="3">
        <f t="shared" si="6"/>
        <v>2076</v>
      </c>
      <c r="K41" s="3">
        <f t="shared" si="5"/>
        <v>1560</v>
      </c>
      <c r="L41" s="3">
        <v>254</v>
      </c>
      <c r="M41" s="3">
        <v>255</v>
      </c>
      <c r="N41" s="3">
        <v>255</v>
      </c>
      <c r="O41" s="3"/>
    </row>
    <row r="42" spans="1:15" x14ac:dyDescent="0.25">
      <c r="A42" s="3" t="s">
        <v>41</v>
      </c>
      <c r="B42" s="3">
        <v>93</v>
      </c>
      <c r="C42" s="3">
        <v>70</v>
      </c>
      <c r="D42" s="4">
        <f t="shared" si="1"/>
        <v>3.0000000000000001E-3</v>
      </c>
      <c r="E42" s="4">
        <f t="shared" si="2"/>
        <v>3.0857142857142858E-3</v>
      </c>
      <c r="F42" s="4">
        <f t="shared" si="3"/>
        <v>3.0428571428571432E-3</v>
      </c>
      <c r="G42" s="3">
        <v>2076</v>
      </c>
      <c r="H42" s="3">
        <v>1523</v>
      </c>
      <c r="I42" s="3">
        <v>35</v>
      </c>
      <c r="J42" s="3">
        <f t="shared" si="6"/>
        <v>2076</v>
      </c>
      <c r="K42" s="3">
        <f t="shared" si="5"/>
        <v>1501</v>
      </c>
      <c r="L42" s="3">
        <v>255</v>
      </c>
      <c r="M42" s="3">
        <v>255</v>
      </c>
      <c r="N42" s="3">
        <v>255</v>
      </c>
      <c r="O42" s="3"/>
    </row>
    <row r="43" spans="1:15" x14ac:dyDescent="0.25">
      <c r="A43" s="3" t="s">
        <v>42</v>
      </c>
      <c r="B43" s="3">
        <v>91</v>
      </c>
      <c r="C43" s="3">
        <v>70</v>
      </c>
      <c r="D43" s="4">
        <f t="shared" si="1"/>
        <v>3.0659340659340661E-3</v>
      </c>
      <c r="E43" s="4">
        <f t="shared" si="2"/>
        <v>3.0857142857142858E-3</v>
      </c>
      <c r="F43" s="4">
        <f t="shared" si="3"/>
        <v>3.075824175824176E-3</v>
      </c>
      <c r="G43" s="3">
        <v>2017</v>
      </c>
      <c r="H43" s="3">
        <v>1456</v>
      </c>
      <c r="I43" s="3">
        <v>35</v>
      </c>
      <c r="J43" s="3">
        <f t="shared" si="6"/>
        <v>2017</v>
      </c>
      <c r="K43" s="3">
        <f t="shared" si="5"/>
        <v>1568</v>
      </c>
      <c r="L43" s="3">
        <v>255</v>
      </c>
      <c r="M43" s="3">
        <v>255</v>
      </c>
      <c r="N43" s="3">
        <v>255</v>
      </c>
      <c r="O43" s="3"/>
    </row>
    <row r="44" spans="1:15" x14ac:dyDescent="0.25">
      <c r="A44" s="1" t="s">
        <v>43</v>
      </c>
      <c r="B44" s="1">
        <v>106</v>
      </c>
      <c r="C44" s="1">
        <v>79</v>
      </c>
      <c r="D44" s="2">
        <f t="shared" si="1"/>
        <v>2.6320754716981135E-3</v>
      </c>
      <c r="E44" s="2">
        <f t="shared" si="2"/>
        <v>2.7341772151898733E-3</v>
      </c>
      <c r="F44" s="2">
        <f t="shared" si="3"/>
        <v>2.6831263434439934E-3</v>
      </c>
      <c r="G44" s="1">
        <v>1903</v>
      </c>
      <c r="H44" s="1">
        <v>1497</v>
      </c>
      <c r="I44" s="1">
        <v>35</v>
      </c>
      <c r="J44" s="1">
        <f t="shared" si="6"/>
        <v>1903</v>
      </c>
      <c r="K44" s="1">
        <f t="shared" si="5"/>
        <v>1527</v>
      </c>
      <c r="L44" s="1">
        <v>243</v>
      </c>
      <c r="M44" s="1">
        <v>254</v>
      </c>
      <c r="N44" s="1">
        <v>255</v>
      </c>
    </row>
    <row r="45" spans="1:15" x14ac:dyDescent="0.25">
      <c r="A45" s="1" t="s">
        <v>44</v>
      </c>
      <c r="B45" s="1">
        <v>110</v>
      </c>
      <c r="C45" s="1">
        <v>86</v>
      </c>
      <c r="D45" s="2">
        <f t="shared" si="1"/>
        <v>2.5363636363636365E-3</v>
      </c>
      <c r="E45" s="2">
        <f t="shared" si="2"/>
        <v>2.5116279069767444E-3</v>
      </c>
      <c r="F45" s="2">
        <f t="shared" si="3"/>
        <v>2.5239957716701907E-3</v>
      </c>
      <c r="G45" s="1">
        <v>1872</v>
      </c>
      <c r="H45" s="1">
        <v>1544</v>
      </c>
      <c r="I45" s="1">
        <v>40</v>
      </c>
      <c r="J45" s="1">
        <f t="shared" si="6"/>
        <v>1872</v>
      </c>
      <c r="K45" s="1">
        <f t="shared" si="5"/>
        <v>1480</v>
      </c>
      <c r="L45" s="1">
        <v>255</v>
      </c>
      <c r="M45" s="1">
        <v>255</v>
      </c>
      <c r="N45" s="1">
        <v>255</v>
      </c>
    </row>
    <row r="46" spans="1:15" x14ac:dyDescent="0.25">
      <c r="A46" s="1" t="s">
        <v>45</v>
      </c>
      <c r="B46" s="1">
        <v>81</v>
      </c>
      <c r="C46" s="1">
        <v>64</v>
      </c>
      <c r="D46" s="2">
        <f t="shared" si="1"/>
        <v>3.4444444444444449E-3</v>
      </c>
      <c r="E46" s="2">
        <f t="shared" si="2"/>
        <v>3.375E-3</v>
      </c>
      <c r="F46" s="2">
        <f t="shared" si="3"/>
        <v>3.4097222222222224E-3</v>
      </c>
      <c r="G46" s="1">
        <v>1946</v>
      </c>
      <c r="H46" s="1">
        <v>1481</v>
      </c>
      <c r="I46" s="1">
        <v>30</v>
      </c>
      <c r="J46" s="1">
        <f t="shared" si="6"/>
        <v>1946</v>
      </c>
      <c r="K46" s="1">
        <f t="shared" si="5"/>
        <v>1543</v>
      </c>
      <c r="L46" s="1">
        <v>254</v>
      </c>
      <c r="M46" s="1">
        <v>255</v>
      </c>
      <c r="N46" s="1">
        <v>255</v>
      </c>
    </row>
    <row r="47" spans="1:15" x14ac:dyDescent="0.25">
      <c r="A47" s="1" t="s">
        <v>46</v>
      </c>
      <c r="B47" s="1">
        <v>88</v>
      </c>
      <c r="C47" s="1">
        <v>69</v>
      </c>
      <c r="D47" s="2">
        <f t="shared" si="1"/>
        <v>3.1704545454545457E-3</v>
      </c>
      <c r="E47" s="2">
        <f t="shared" si="2"/>
        <v>3.1304347826086958E-3</v>
      </c>
      <c r="F47" s="2">
        <f t="shared" si="3"/>
        <v>3.150444664031621E-3</v>
      </c>
      <c r="G47" s="1">
        <v>2012</v>
      </c>
      <c r="H47" s="1">
        <v>1472</v>
      </c>
      <c r="I47" s="1">
        <v>30</v>
      </c>
      <c r="J47" s="1">
        <f t="shared" si="6"/>
        <v>2012</v>
      </c>
      <c r="K47" s="1">
        <f t="shared" si="5"/>
        <v>1552</v>
      </c>
      <c r="L47" s="1">
        <v>255</v>
      </c>
      <c r="M47" s="1">
        <v>255</v>
      </c>
      <c r="N47" s="1">
        <v>255</v>
      </c>
    </row>
    <row r="48" spans="1:15" x14ac:dyDescent="0.25">
      <c r="A48" s="1" t="s">
        <v>47</v>
      </c>
      <c r="B48" s="1">
        <v>89</v>
      </c>
      <c r="C48" s="1">
        <v>76</v>
      </c>
      <c r="D48" s="2">
        <f t="shared" si="1"/>
        <v>3.1348314606741575E-3</v>
      </c>
      <c r="E48" s="2">
        <f t="shared" si="2"/>
        <v>2.8421052631578945E-3</v>
      </c>
      <c r="F48" s="2">
        <f t="shared" si="3"/>
        <v>2.988468361916026E-3</v>
      </c>
      <c r="G48" s="1">
        <v>2095</v>
      </c>
      <c r="H48" s="1">
        <v>1439</v>
      </c>
      <c r="I48" s="1">
        <v>35</v>
      </c>
      <c r="J48" s="1">
        <f t="shared" si="6"/>
        <v>2095</v>
      </c>
      <c r="K48" s="1">
        <f t="shared" si="5"/>
        <v>1585</v>
      </c>
      <c r="L48" s="1">
        <v>255</v>
      </c>
      <c r="M48" s="1">
        <v>255</v>
      </c>
      <c r="N48" s="1">
        <v>255</v>
      </c>
    </row>
    <row r="49" spans="1:15" x14ac:dyDescent="0.25">
      <c r="A49" s="7" t="s">
        <v>48</v>
      </c>
      <c r="B49" s="7">
        <v>80</v>
      </c>
      <c r="C49" s="7">
        <v>63</v>
      </c>
      <c r="D49" s="8">
        <f t="shared" si="1"/>
        <v>3.4875000000000001E-3</v>
      </c>
      <c r="E49" s="8">
        <f t="shared" si="2"/>
        <v>3.4285714285714284E-3</v>
      </c>
      <c r="F49" s="8">
        <f t="shared" si="3"/>
        <v>3.4580357142857143E-3</v>
      </c>
      <c r="G49" s="7">
        <v>2093</v>
      </c>
      <c r="H49" s="7">
        <v>1502</v>
      </c>
      <c r="I49" s="7">
        <v>30</v>
      </c>
      <c r="J49" s="7">
        <f t="shared" si="6"/>
        <v>2093</v>
      </c>
      <c r="K49" s="7">
        <f t="shared" si="5"/>
        <v>1522</v>
      </c>
      <c r="L49" s="7">
        <v>179</v>
      </c>
      <c r="M49" s="7">
        <v>242</v>
      </c>
      <c r="N49" s="7">
        <v>253</v>
      </c>
      <c r="O49" s="7" t="s">
        <v>72</v>
      </c>
    </row>
    <row r="50" spans="1:15" x14ac:dyDescent="0.25">
      <c r="A50" s="1" t="s">
        <v>49</v>
      </c>
      <c r="B50" s="1">
        <v>92</v>
      </c>
      <c r="C50" s="1">
        <v>73</v>
      </c>
      <c r="D50" s="2">
        <f t="shared" si="1"/>
        <v>3.0326086956521743E-3</v>
      </c>
      <c r="E50" s="2">
        <f t="shared" si="2"/>
        <v>2.958904109589041E-3</v>
      </c>
      <c r="F50" s="2">
        <f t="shared" si="3"/>
        <v>2.9957564026206075E-3</v>
      </c>
      <c r="G50" s="1">
        <v>1993</v>
      </c>
      <c r="H50" s="1">
        <v>1520</v>
      </c>
      <c r="I50" s="1">
        <v>35</v>
      </c>
      <c r="J50" s="1">
        <f t="shared" si="6"/>
        <v>1993</v>
      </c>
      <c r="K50" s="1">
        <f t="shared" si="5"/>
        <v>1504</v>
      </c>
      <c r="L50" s="1">
        <v>255</v>
      </c>
      <c r="M50" s="1">
        <v>255</v>
      </c>
      <c r="N50" s="1">
        <v>255</v>
      </c>
    </row>
    <row r="51" spans="1:15" x14ac:dyDescent="0.25">
      <c r="A51" s="1" t="s">
        <v>50</v>
      </c>
      <c r="B51" s="1">
        <v>96</v>
      </c>
      <c r="C51" s="1">
        <v>73</v>
      </c>
      <c r="D51" s="2">
        <f t="shared" si="1"/>
        <v>2.9062500000000004E-3</v>
      </c>
      <c r="E51" s="2">
        <f t="shared" si="2"/>
        <v>2.958904109589041E-3</v>
      </c>
      <c r="F51" s="2">
        <f t="shared" si="3"/>
        <v>2.9325770547945209E-3</v>
      </c>
      <c r="G51" s="1">
        <v>2113</v>
      </c>
      <c r="H51" s="1">
        <v>1468</v>
      </c>
      <c r="I51" s="1">
        <v>30</v>
      </c>
      <c r="J51" s="1">
        <f t="shared" si="6"/>
        <v>2113</v>
      </c>
      <c r="K51" s="1">
        <f t="shared" si="5"/>
        <v>1556</v>
      </c>
      <c r="L51" s="1">
        <v>255</v>
      </c>
      <c r="M51" s="1">
        <v>255</v>
      </c>
      <c r="N51" s="1">
        <v>255</v>
      </c>
    </row>
    <row r="52" spans="1:15" x14ac:dyDescent="0.25">
      <c r="A52" s="1" t="s">
        <v>51</v>
      </c>
      <c r="B52" s="1">
        <v>102</v>
      </c>
      <c r="C52" s="1">
        <v>76</v>
      </c>
      <c r="D52" s="2">
        <f t="shared" si="1"/>
        <v>2.7352941176470593E-3</v>
      </c>
      <c r="E52" s="2">
        <f t="shared" si="2"/>
        <v>2.8421052631578945E-3</v>
      </c>
      <c r="F52" s="2">
        <f t="shared" si="3"/>
        <v>2.7886996904024769E-3</v>
      </c>
      <c r="G52" s="1">
        <v>2039</v>
      </c>
      <c r="H52" s="1">
        <v>1475</v>
      </c>
      <c r="I52" s="1">
        <v>35</v>
      </c>
      <c r="J52" s="1">
        <f t="shared" si="6"/>
        <v>2039</v>
      </c>
      <c r="K52" s="1">
        <f t="shared" si="5"/>
        <v>1549</v>
      </c>
      <c r="L52" s="1">
        <v>255</v>
      </c>
      <c r="M52" s="1">
        <v>255</v>
      </c>
      <c r="N52" s="1">
        <v>255</v>
      </c>
    </row>
    <row r="53" spans="1:15" x14ac:dyDescent="0.25">
      <c r="A53" s="7" t="s">
        <v>52</v>
      </c>
      <c r="B53" s="7">
        <v>85</v>
      </c>
      <c r="C53" s="7">
        <v>65</v>
      </c>
      <c r="D53" s="8">
        <f t="shared" si="1"/>
        <v>3.2823529411764711E-3</v>
      </c>
      <c r="E53" s="8">
        <f t="shared" si="2"/>
        <v>3.323076923076923E-3</v>
      </c>
      <c r="F53" s="8">
        <f t="shared" si="3"/>
        <v>3.302714932126697E-3</v>
      </c>
      <c r="G53" s="7">
        <v>1888</v>
      </c>
      <c r="H53" s="7">
        <v>1468</v>
      </c>
      <c r="I53" s="7">
        <v>30</v>
      </c>
      <c r="J53" s="7">
        <f t="shared" si="6"/>
        <v>1888</v>
      </c>
      <c r="K53" s="7">
        <f t="shared" si="5"/>
        <v>1556</v>
      </c>
      <c r="L53" s="7">
        <v>146</v>
      </c>
      <c r="M53" s="7">
        <v>230</v>
      </c>
      <c r="N53" s="7">
        <v>253</v>
      </c>
      <c r="O53" s="7" t="s">
        <v>72</v>
      </c>
    </row>
    <row r="54" spans="1:15" x14ac:dyDescent="0.25">
      <c r="A54" s="1" t="s">
        <v>53</v>
      </c>
      <c r="B54" s="1">
        <v>96</v>
      </c>
      <c r="C54" s="1">
        <v>73</v>
      </c>
      <c r="D54" s="2">
        <f t="shared" si="1"/>
        <v>2.9062500000000004E-3</v>
      </c>
      <c r="E54" s="2">
        <f t="shared" si="2"/>
        <v>2.958904109589041E-3</v>
      </c>
      <c r="F54" s="2">
        <f t="shared" si="3"/>
        <v>2.9325770547945209E-3</v>
      </c>
      <c r="G54" s="1">
        <v>2071</v>
      </c>
      <c r="H54" s="1">
        <v>1517</v>
      </c>
      <c r="I54" s="1">
        <v>35</v>
      </c>
      <c r="J54" s="1">
        <f t="shared" si="6"/>
        <v>2071</v>
      </c>
      <c r="K54" s="1">
        <f t="shared" si="5"/>
        <v>1507</v>
      </c>
      <c r="L54" s="1">
        <v>255</v>
      </c>
      <c r="M54" s="1">
        <v>255</v>
      </c>
      <c r="N54" s="1">
        <v>255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Danby</dc:creator>
  <cp:lastModifiedBy>Nahuel Deltrozzo</cp:lastModifiedBy>
  <dcterms:created xsi:type="dcterms:W3CDTF">2015-06-05T18:17:20Z</dcterms:created>
  <dcterms:modified xsi:type="dcterms:W3CDTF">2026-06-09T20:20:50Z</dcterms:modified>
</cp:coreProperties>
</file>